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a42ec876713c1e/Documents/"/>
    </mc:Choice>
  </mc:AlternateContent>
  <xr:revisionPtr revIDLastSave="893" documentId="8_{DA4A56FB-4889-4DBC-B510-17394FE4F3F8}" xr6:coauthVersionLast="47" xr6:coauthVersionMax="47" xr10:uidLastSave="{D44C1B36-3ED4-4493-B691-BD59A097E028}"/>
  <bookViews>
    <workbookView xWindow="28680" yWindow="-120" windowWidth="29040" windowHeight="15840" firstSheet="4" activeTab="4" xr2:uid="{FF88C69D-02A0-406E-AD49-AEA433D5476B}"/>
  </bookViews>
  <sheets>
    <sheet name="Detalle1" sheetId="6" r:id="rId1"/>
    <sheet name="Detalle2" sheetId="9" r:id="rId2"/>
    <sheet name="Detalle3" sheetId="11" r:id="rId3"/>
    <sheet name="Detalle4" sheetId="12" r:id="rId4"/>
    <sheet name="Hoja3" sheetId="5" r:id="rId5"/>
    <sheet name="Tabla jerseys" sheetId="1" r:id="rId6"/>
    <sheet name="power bi" sheetId="2" r:id="rId7"/>
  </sheets>
  <definedNames>
    <definedName name="SegmentaciónDeDatos_Meses__Fecha_de_venta">#N/A</definedName>
  </definedNames>
  <calcPr calcId="191029"/>
  <pivotCaches>
    <pivotCache cacheId="1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L188" i="1"/>
  <c r="L189" i="1"/>
  <c r="L190" i="1"/>
  <c r="L191" i="1"/>
  <c r="L192" i="1"/>
  <c r="O9" i="1"/>
  <c r="L186" i="1"/>
  <c r="L187" i="1"/>
  <c r="L184" i="1"/>
  <c r="L185" i="1"/>
  <c r="E183" i="1"/>
  <c r="F183" i="1" s="1"/>
  <c r="L183" i="1" s="1"/>
  <c r="E182" i="1"/>
  <c r="F182" i="1" s="1"/>
  <c r="L182" i="1" s="1"/>
  <c r="E181" i="1"/>
  <c r="F181" i="1" s="1"/>
  <c r="L181" i="1" s="1"/>
  <c r="E180" i="1"/>
  <c r="F180" i="1" s="1"/>
  <c r="L180" i="1" s="1"/>
  <c r="E179" i="1"/>
  <c r="F179" i="1" s="1"/>
  <c r="L179" i="1" s="1"/>
  <c r="E178" i="1"/>
  <c r="F178" i="1" s="1"/>
  <c r="L178" i="1" s="1"/>
  <c r="E177" i="1"/>
  <c r="F177" i="1" s="1"/>
  <c r="L177" i="1" s="1"/>
  <c r="E176" i="1"/>
  <c r="F176" i="1" s="1"/>
  <c r="L176" i="1" s="1"/>
  <c r="E175" i="1"/>
  <c r="F175" i="1" s="1"/>
  <c r="L175" i="1" s="1"/>
  <c r="E174" i="1"/>
  <c r="F174" i="1" s="1"/>
  <c r="L174" i="1" s="1"/>
  <c r="E173" i="1"/>
  <c r="F173" i="1" s="1"/>
  <c r="L173" i="1" s="1"/>
  <c r="E172" i="1"/>
  <c r="F172" i="1" s="1"/>
  <c r="L172" i="1" s="1"/>
  <c r="E171" i="1"/>
  <c r="F171" i="1" s="1"/>
  <c r="L171" i="1" s="1"/>
  <c r="F162" i="1"/>
  <c r="L162" i="1" s="1"/>
  <c r="F169" i="1"/>
  <c r="L169" i="1" s="1"/>
  <c r="E159" i="1"/>
  <c r="F159" i="1" s="1"/>
  <c r="L159" i="1" s="1"/>
  <c r="E160" i="1"/>
  <c r="F160" i="1" s="1"/>
  <c r="L160" i="1" s="1"/>
  <c r="E161" i="1"/>
  <c r="F161" i="1" s="1"/>
  <c r="L161" i="1" s="1"/>
  <c r="E162" i="1"/>
  <c r="E163" i="1"/>
  <c r="F163" i="1" s="1"/>
  <c r="L163" i="1" s="1"/>
  <c r="E164" i="1"/>
  <c r="F164" i="1" s="1"/>
  <c r="L164" i="1" s="1"/>
  <c r="E165" i="1"/>
  <c r="F165" i="1" s="1"/>
  <c r="L165" i="1" s="1"/>
  <c r="E166" i="1"/>
  <c r="F166" i="1" s="1"/>
  <c r="L166" i="1" s="1"/>
  <c r="E167" i="1"/>
  <c r="F167" i="1" s="1"/>
  <c r="L167" i="1" s="1"/>
  <c r="E168" i="1"/>
  <c r="F168" i="1" s="1"/>
  <c r="L168" i="1" s="1"/>
  <c r="E169" i="1"/>
  <c r="E170" i="1"/>
  <c r="F170" i="1" s="1"/>
  <c r="L170" i="1" s="1"/>
  <c r="E157" i="1"/>
  <c r="F157" i="1" s="1"/>
  <c r="L157" i="1" s="1"/>
  <c r="E158" i="1"/>
  <c r="F158" i="1" s="1"/>
  <c r="L158" i="1" s="1"/>
  <c r="E144" i="1"/>
  <c r="F144" i="1" s="1"/>
  <c r="L144" i="1" s="1"/>
  <c r="E145" i="1"/>
  <c r="F145" i="1" s="1"/>
  <c r="L145" i="1" s="1"/>
  <c r="E146" i="1"/>
  <c r="F146" i="1" s="1"/>
  <c r="L146" i="1" s="1"/>
  <c r="E147" i="1"/>
  <c r="F147" i="1" s="1"/>
  <c r="L147" i="1" s="1"/>
  <c r="E148" i="1"/>
  <c r="F148" i="1" s="1"/>
  <c r="L148" i="1" s="1"/>
  <c r="E149" i="1"/>
  <c r="F149" i="1" s="1"/>
  <c r="L149" i="1" s="1"/>
  <c r="E150" i="1"/>
  <c r="F150" i="1" s="1"/>
  <c r="L150" i="1" s="1"/>
  <c r="E151" i="1"/>
  <c r="F151" i="1" s="1"/>
  <c r="L151" i="1" s="1"/>
  <c r="E152" i="1"/>
  <c r="F152" i="1" s="1"/>
  <c r="L152" i="1" s="1"/>
  <c r="E153" i="1"/>
  <c r="F153" i="1" s="1"/>
  <c r="L153" i="1" s="1"/>
  <c r="E154" i="1"/>
  <c r="F154" i="1" s="1"/>
  <c r="L154" i="1" s="1"/>
  <c r="E155" i="1"/>
  <c r="F155" i="1" s="1"/>
  <c r="L155" i="1" s="1"/>
  <c r="E156" i="1"/>
  <c r="F156" i="1" s="1"/>
  <c r="L156" i="1" s="1"/>
  <c r="E143" i="1"/>
  <c r="F143" i="1" s="1"/>
  <c r="L143" i="1" s="1"/>
  <c r="E142" i="1"/>
  <c r="F142" i="1" s="1"/>
  <c r="L142" i="1" s="1"/>
  <c r="E132" i="1"/>
  <c r="F132" i="1" s="1"/>
  <c r="E133" i="1"/>
  <c r="F133" i="1" s="1"/>
  <c r="L133" i="1" s="1"/>
  <c r="E134" i="1"/>
  <c r="F134" i="1" s="1"/>
  <c r="L134" i="1" s="1"/>
  <c r="E135" i="1"/>
  <c r="F135" i="1" s="1"/>
  <c r="L135" i="1" s="1"/>
  <c r="E136" i="1"/>
  <c r="F136" i="1" s="1"/>
  <c r="L136" i="1" s="1"/>
  <c r="E137" i="1"/>
  <c r="F137" i="1" s="1"/>
  <c r="L137" i="1" s="1"/>
  <c r="E138" i="1"/>
  <c r="F138" i="1" s="1"/>
  <c r="L138" i="1" s="1"/>
  <c r="E139" i="1"/>
  <c r="F139" i="1" s="1"/>
  <c r="L139" i="1" s="1"/>
  <c r="E140" i="1"/>
  <c r="F140" i="1" s="1"/>
  <c r="L140" i="1" s="1"/>
  <c r="E141" i="1"/>
  <c r="F141" i="1" s="1"/>
  <c r="L141" i="1" s="1"/>
  <c r="E131" i="1"/>
  <c r="F131" i="1" s="1"/>
  <c r="L131" i="1" s="1"/>
  <c r="E130" i="1"/>
  <c r="F130" i="1" s="1"/>
  <c r="L130" i="1" s="1"/>
  <c r="F129" i="1"/>
  <c r="L129" i="1" s="1"/>
  <c r="F2" i="1"/>
  <c r="L2" i="1" s="1"/>
  <c r="F3" i="1"/>
  <c r="L3" i="1" s="1"/>
  <c r="F4" i="1"/>
  <c r="L4" i="1" s="1"/>
  <c r="F5" i="1"/>
  <c r="L5" i="1" s="1"/>
  <c r="F6" i="1"/>
  <c r="L6" i="1" s="1"/>
  <c r="F7" i="1"/>
  <c r="L7" i="1" s="1"/>
  <c r="F8" i="1"/>
  <c r="L8" i="1" s="1"/>
  <c r="F9" i="1"/>
  <c r="L9" i="1" s="1"/>
  <c r="F10" i="1"/>
  <c r="L10" i="1" s="1"/>
  <c r="F11" i="1"/>
  <c r="L11" i="1" s="1"/>
  <c r="F13" i="1"/>
  <c r="L13" i="1" s="1"/>
  <c r="F14" i="1"/>
  <c r="L14" i="1" s="1"/>
  <c r="F15" i="1"/>
  <c r="L15" i="1" s="1"/>
  <c r="F16" i="1"/>
  <c r="L16" i="1" s="1"/>
  <c r="F12" i="1"/>
  <c r="L12" i="1" s="1"/>
  <c r="F29" i="1"/>
  <c r="L29" i="1" s="1"/>
  <c r="F30" i="1"/>
  <c r="L30" i="1" s="1"/>
  <c r="F31" i="1"/>
  <c r="L31" i="1" s="1"/>
  <c r="F21" i="1"/>
  <c r="L21" i="1" s="1"/>
  <c r="F27" i="1"/>
  <c r="L27" i="1" s="1"/>
  <c r="F22" i="1"/>
  <c r="L22" i="1" s="1"/>
  <c r="F23" i="1"/>
  <c r="L23" i="1" s="1"/>
  <c r="F26" i="1"/>
  <c r="L26" i="1" s="1"/>
  <c r="F25" i="1"/>
  <c r="L25" i="1" s="1"/>
  <c r="F28" i="1"/>
  <c r="L28" i="1" s="1"/>
  <c r="F34" i="1"/>
  <c r="L34" i="1" s="1"/>
  <c r="F35" i="1"/>
  <c r="L35" i="1" s="1"/>
  <c r="F38" i="1"/>
  <c r="L38" i="1" s="1"/>
  <c r="F24" i="1"/>
  <c r="L24" i="1" s="1"/>
  <c r="F39" i="1"/>
  <c r="L39" i="1" s="1"/>
  <c r="F40" i="1"/>
  <c r="L40" i="1" s="1"/>
  <c r="F41" i="1"/>
  <c r="L41" i="1" s="1"/>
  <c r="F42" i="1"/>
  <c r="L42" i="1" s="1"/>
  <c r="F43" i="1"/>
  <c r="L43" i="1" s="1"/>
  <c r="F44" i="1"/>
  <c r="L44" i="1" s="1"/>
  <c r="F45" i="1"/>
  <c r="L45" i="1" s="1"/>
  <c r="F46" i="1"/>
  <c r="L46" i="1" s="1"/>
  <c r="F20" i="1"/>
  <c r="L20" i="1" s="1"/>
  <c r="F19" i="1"/>
  <c r="L19" i="1" s="1"/>
  <c r="F33" i="1"/>
  <c r="L33" i="1" s="1"/>
  <c r="F37" i="1"/>
  <c r="L37" i="1" s="1"/>
  <c r="F17" i="1"/>
  <c r="L17" i="1" s="1"/>
  <c r="F47" i="1"/>
  <c r="L47" i="1" s="1"/>
  <c r="F32" i="1"/>
  <c r="L32" i="1" s="1"/>
  <c r="F36" i="1"/>
  <c r="L36" i="1" s="1"/>
  <c r="F18" i="1"/>
  <c r="L18" i="1" s="1"/>
  <c r="F49" i="1"/>
  <c r="L49" i="1" s="1"/>
  <c r="F48" i="1"/>
  <c r="L48" i="1" s="1"/>
  <c r="F50" i="1"/>
  <c r="L50" i="1" s="1"/>
  <c r="F51" i="1"/>
  <c r="L51" i="1" s="1"/>
  <c r="F52" i="1"/>
  <c r="L52" i="1" s="1"/>
  <c r="F53" i="1"/>
  <c r="L53" i="1" s="1"/>
  <c r="F57" i="1"/>
  <c r="L57" i="1" s="1"/>
  <c r="F65" i="1"/>
  <c r="L65" i="1" s="1"/>
  <c r="F66" i="1"/>
  <c r="L66" i="1" s="1"/>
  <c r="F67" i="1"/>
  <c r="L67" i="1" s="1"/>
  <c r="F68" i="1"/>
  <c r="L68" i="1" s="1"/>
  <c r="F58" i="1"/>
  <c r="L58" i="1" s="1"/>
  <c r="F59" i="1"/>
  <c r="L59" i="1" s="1"/>
  <c r="F69" i="1"/>
  <c r="L69" i="1" s="1"/>
  <c r="F70" i="1"/>
  <c r="L70" i="1" s="1"/>
  <c r="F71" i="1"/>
  <c r="L71" i="1" s="1"/>
  <c r="F60" i="1"/>
  <c r="L60" i="1" s="1"/>
  <c r="F72" i="1"/>
  <c r="L72" i="1" s="1"/>
  <c r="F62" i="1"/>
  <c r="L62" i="1" s="1"/>
  <c r="F55" i="1"/>
  <c r="L55" i="1" s="1"/>
  <c r="F56" i="1"/>
  <c r="L56" i="1" s="1"/>
  <c r="F63" i="1"/>
  <c r="L63" i="1" s="1"/>
  <c r="F54" i="1"/>
  <c r="L54" i="1" s="1"/>
  <c r="F61" i="1"/>
  <c r="L61" i="1" s="1"/>
  <c r="F64" i="1"/>
  <c r="L64" i="1" s="1"/>
  <c r="F75" i="1"/>
  <c r="L75" i="1" s="1"/>
  <c r="F74" i="1"/>
  <c r="L74" i="1" s="1"/>
  <c r="F73" i="1"/>
  <c r="L73" i="1" s="1"/>
  <c r="F76" i="1"/>
  <c r="L76" i="1" s="1"/>
  <c r="F79" i="1"/>
  <c r="L79" i="1" s="1"/>
  <c r="F80" i="1"/>
  <c r="L80" i="1" s="1"/>
  <c r="F81" i="1"/>
  <c r="L81" i="1" s="1"/>
  <c r="F82" i="1"/>
  <c r="L82" i="1" s="1"/>
  <c r="F86" i="1"/>
  <c r="L86" i="1" s="1"/>
  <c r="F87" i="1"/>
  <c r="L87" i="1" s="1"/>
  <c r="F83" i="1"/>
  <c r="L83" i="1" s="1"/>
  <c r="F88" i="1"/>
  <c r="L88" i="1" s="1"/>
  <c r="F84" i="1"/>
  <c r="L84" i="1" s="1"/>
  <c r="F89" i="1"/>
  <c r="L89" i="1" s="1"/>
  <c r="F77" i="1"/>
  <c r="L77" i="1" s="1"/>
  <c r="F78" i="1"/>
  <c r="L78" i="1" s="1"/>
  <c r="F85" i="1"/>
  <c r="L85" i="1" s="1"/>
  <c r="F97" i="1"/>
  <c r="L97" i="1" s="1"/>
  <c r="F98" i="1"/>
  <c r="L98" i="1" s="1"/>
  <c r="F99" i="1"/>
  <c r="L99" i="1" s="1"/>
  <c r="F100" i="1"/>
  <c r="L100" i="1" s="1"/>
  <c r="F101" i="1"/>
  <c r="L101" i="1" s="1"/>
  <c r="F102" i="1"/>
  <c r="L102" i="1" s="1"/>
  <c r="F103" i="1"/>
  <c r="L103" i="1" s="1"/>
  <c r="F92" i="1"/>
  <c r="L92" i="1" s="1"/>
  <c r="F91" i="1"/>
  <c r="L91" i="1" s="1"/>
  <c r="F90" i="1"/>
  <c r="L90" i="1" s="1"/>
  <c r="F93" i="1"/>
  <c r="L93" i="1" s="1"/>
  <c r="F104" i="1"/>
  <c r="L104" i="1" s="1"/>
  <c r="F105" i="1"/>
  <c r="L105" i="1" s="1"/>
  <c r="F106" i="1"/>
  <c r="L106" i="1" s="1"/>
  <c r="F107" i="1"/>
  <c r="L107" i="1" s="1"/>
  <c r="F96" i="1"/>
  <c r="L96" i="1" s="1"/>
  <c r="F95" i="1"/>
  <c r="L95" i="1" s="1"/>
  <c r="F94" i="1"/>
  <c r="L94" i="1" s="1"/>
  <c r="F111" i="1"/>
  <c r="L111" i="1" s="1"/>
  <c r="F112" i="1"/>
  <c r="L112" i="1" s="1"/>
  <c r="F113" i="1"/>
  <c r="L113" i="1" s="1"/>
  <c r="F114" i="1"/>
  <c r="L114" i="1" s="1"/>
  <c r="F108" i="1"/>
  <c r="L108" i="1" s="1"/>
  <c r="F109" i="1"/>
  <c r="L109" i="1" s="1"/>
  <c r="F110" i="1"/>
  <c r="L110" i="1" s="1"/>
  <c r="F116" i="1"/>
  <c r="L116" i="1" s="1"/>
  <c r="F115" i="1"/>
  <c r="L115" i="1" s="1"/>
  <c r="F119" i="1"/>
  <c r="L119" i="1" s="1"/>
  <c r="F117" i="1"/>
  <c r="L117" i="1" s="1"/>
  <c r="F118" i="1"/>
  <c r="L118" i="1" s="1"/>
  <c r="F120" i="1"/>
  <c r="L120" i="1" s="1"/>
  <c r="F121" i="1"/>
  <c r="L121" i="1" s="1"/>
  <c r="F122" i="1"/>
  <c r="L122" i="1" s="1"/>
  <c r="F123" i="1"/>
  <c r="L123" i="1" s="1"/>
  <c r="F124" i="1"/>
  <c r="L124" i="1" s="1"/>
  <c r="F125" i="1"/>
  <c r="L125" i="1" s="1"/>
  <c r="F126" i="1"/>
  <c r="L126" i="1" s="1"/>
  <c r="F127" i="1"/>
  <c r="F128" i="1"/>
  <c r="L128" i="1" s="1"/>
  <c r="O15" i="1"/>
  <c r="G95" i="2"/>
  <c r="L87" i="2"/>
  <c r="F86" i="2"/>
  <c r="L86" i="2" s="1"/>
  <c r="F85" i="2"/>
  <c r="L85" i="2" s="1"/>
  <c r="L84" i="2"/>
  <c r="F84" i="2"/>
  <c r="F83" i="2"/>
  <c r="L83" i="2" s="1"/>
  <c r="L82" i="2"/>
  <c r="F82" i="2"/>
  <c r="F81" i="2"/>
  <c r="L81" i="2" s="1"/>
  <c r="F80" i="2"/>
  <c r="L80" i="2" s="1"/>
  <c r="F79" i="2"/>
  <c r="L79" i="2" s="1"/>
  <c r="N78" i="2"/>
  <c r="F78" i="2"/>
  <c r="L78" i="2" s="1"/>
  <c r="F77" i="2"/>
  <c r="L77" i="2" s="1"/>
  <c r="F76" i="2"/>
  <c r="L76" i="2" s="1"/>
  <c r="F75" i="2"/>
  <c r="L75" i="2" s="1"/>
  <c r="F74" i="2"/>
  <c r="L74" i="2" s="1"/>
  <c r="F73" i="2"/>
  <c r="L73" i="2" s="1"/>
  <c r="F72" i="2"/>
  <c r="L72" i="2" s="1"/>
  <c r="F71" i="2"/>
  <c r="L71" i="2" s="1"/>
  <c r="F70" i="2"/>
  <c r="L70" i="2" s="1"/>
  <c r="F69" i="2"/>
  <c r="L69" i="2" s="1"/>
  <c r="F68" i="2"/>
  <c r="L68" i="2" s="1"/>
  <c r="F67" i="2"/>
  <c r="L67" i="2" s="1"/>
  <c r="F66" i="2"/>
  <c r="L66" i="2" s="1"/>
  <c r="N65" i="2"/>
  <c r="F65" i="2"/>
  <c r="L65" i="2" s="1"/>
  <c r="F64" i="2"/>
  <c r="L64" i="2" s="1"/>
  <c r="F63" i="2"/>
  <c r="L63" i="2" s="1"/>
  <c r="F62" i="2"/>
  <c r="L62" i="2" s="1"/>
  <c r="F61" i="2"/>
  <c r="L61" i="2" s="1"/>
  <c r="F60" i="2"/>
  <c r="L60" i="2" s="1"/>
  <c r="F59" i="2"/>
  <c r="L59" i="2" s="1"/>
  <c r="F58" i="2"/>
  <c r="L58" i="2" s="1"/>
  <c r="F57" i="2"/>
  <c r="L57" i="2" s="1"/>
  <c r="N56" i="2"/>
  <c r="F56" i="2"/>
  <c r="L56" i="2" s="1"/>
  <c r="F55" i="2"/>
  <c r="L55" i="2" s="1"/>
  <c r="F54" i="2"/>
  <c r="L54" i="2" s="1"/>
  <c r="F53" i="2"/>
  <c r="L53" i="2" s="1"/>
  <c r="L52" i="2"/>
  <c r="F52" i="2"/>
  <c r="F51" i="2"/>
  <c r="L51" i="2" s="1"/>
  <c r="F50" i="2"/>
  <c r="L50" i="2" s="1"/>
  <c r="F49" i="2"/>
  <c r="L49" i="2" s="1"/>
  <c r="F48" i="2"/>
  <c r="L48" i="2" s="1"/>
  <c r="F47" i="2"/>
  <c r="L47" i="2" s="1"/>
  <c r="F46" i="2"/>
  <c r="L46" i="2" s="1"/>
  <c r="F45" i="2"/>
  <c r="L45" i="2" s="1"/>
  <c r="F44" i="2"/>
  <c r="L44" i="2" s="1"/>
  <c r="F43" i="2"/>
  <c r="L43" i="2" s="1"/>
  <c r="F42" i="2"/>
  <c r="L42" i="2" s="1"/>
  <c r="F41" i="2"/>
  <c r="L41" i="2" s="1"/>
  <c r="F40" i="2"/>
  <c r="L40" i="2" s="1"/>
  <c r="F39" i="2"/>
  <c r="L39" i="2" s="1"/>
  <c r="F38" i="2"/>
  <c r="L38" i="2" s="1"/>
  <c r="F37" i="2"/>
  <c r="L37" i="2" s="1"/>
  <c r="F36" i="2"/>
  <c r="L36" i="2" s="1"/>
  <c r="F35" i="2"/>
  <c r="L35" i="2" s="1"/>
  <c r="F34" i="2"/>
  <c r="L34" i="2" s="1"/>
  <c r="L33" i="2"/>
  <c r="F32" i="2"/>
  <c r="L32" i="2" s="1"/>
  <c r="F31" i="2"/>
  <c r="L31" i="2" s="1"/>
  <c r="F30" i="2"/>
  <c r="L30" i="2" s="1"/>
  <c r="F29" i="2"/>
  <c r="L29" i="2" s="1"/>
  <c r="F28" i="2"/>
  <c r="L28" i="2" s="1"/>
  <c r="F27" i="2"/>
  <c r="L27" i="2" s="1"/>
  <c r="F26" i="2"/>
  <c r="L26" i="2" s="1"/>
  <c r="P25" i="2"/>
  <c r="F25" i="2"/>
  <c r="L25" i="2" s="1"/>
  <c r="Q24" i="2"/>
  <c r="Q26" i="2" s="1"/>
  <c r="F24" i="2"/>
  <c r="L24" i="2" s="1"/>
  <c r="F23" i="2"/>
  <c r="L23" i="2" s="1"/>
  <c r="F22" i="2"/>
  <c r="L22" i="2" s="1"/>
  <c r="F21" i="2"/>
  <c r="L21" i="2" s="1"/>
  <c r="L20" i="2"/>
  <c r="F20" i="2"/>
  <c r="F19" i="2"/>
  <c r="L19" i="2" s="1"/>
  <c r="F18" i="2"/>
  <c r="L18" i="2" s="1"/>
  <c r="F17" i="2"/>
  <c r="L17" i="2" s="1"/>
  <c r="F16" i="2"/>
  <c r="L16" i="2" s="1"/>
  <c r="O15" i="2"/>
  <c r="F15" i="2"/>
  <c r="L15" i="2" s="1"/>
  <c r="F14" i="2"/>
  <c r="L14" i="2" s="1"/>
  <c r="F13" i="2"/>
  <c r="L13" i="2" s="1"/>
  <c r="F12" i="2"/>
  <c r="L12" i="2" s="1"/>
  <c r="F11" i="2"/>
  <c r="L11" i="2" s="1"/>
  <c r="F10" i="2"/>
  <c r="L10" i="2" s="1"/>
  <c r="O9" i="2"/>
  <c r="F9" i="2"/>
  <c r="L9" i="2" s="1"/>
  <c r="F8" i="2"/>
  <c r="L8" i="2" s="1"/>
  <c r="L7" i="2"/>
  <c r="F7" i="2"/>
  <c r="F6" i="2"/>
  <c r="L6" i="2" s="1"/>
  <c r="F5" i="2"/>
  <c r="L5" i="2" s="1"/>
  <c r="F4" i="2"/>
  <c r="L4" i="2" s="1"/>
  <c r="F3" i="2"/>
  <c r="L3" i="2" s="1"/>
  <c r="F2" i="2"/>
  <c r="L2" i="2" s="1"/>
  <c r="I10" i="5"/>
  <c r="I15" i="5" l="1"/>
  <c r="F194" i="1"/>
  <c r="O8" i="1"/>
  <c r="O10" i="1" s="1"/>
  <c r="L132" i="1"/>
  <c r="O5" i="1" s="1"/>
  <c r="O16" i="1"/>
  <c r="O16" i="2"/>
  <c r="O6" i="2"/>
  <c r="O12" i="2"/>
  <c r="O5" i="2"/>
  <c r="O11" i="2"/>
  <c r="O7" i="2"/>
  <c r="O8" i="2"/>
  <c r="O10" i="2" s="1"/>
  <c r="O11" i="1" l="1"/>
  <c r="O12" i="1"/>
  <c r="O13" i="1" s="1"/>
  <c r="O6" i="1"/>
  <c r="O7" i="1"/>
  <c r="O13" i="2"/>
  <c r="O14" i="2"/>
  <c r="O14" i="1" l="1"/>
</calcChain>
</file>

<file path=xl/sharedStrings.xml><?xml version="1.0" encoding="utf-8"?>
<sst xmlns="http://schemas.openxmlformats.org/spreadsheetml/2006/main" count="1132" uniqueCount="153">
  <si>
    <t>Pedido</t>
  </si>
  <si>
    <t>Fecha de compra</t>
  </si>
  <si>
    <t>Fecha llegada</t>
  </si>
  <si>
    <t xml:space="preserve"> Costo </t>
  </si>
  <si>
    <t xml:space="preserve"> Costo de envio </t>
  </si>
  <si>
    <t xml:space="preserve"> Costo total </t>
  </si>
  <si>
    <t>Modelo</t>
  </si>
  <si>
    <t>Jugador</t>
  </si>
  <si>
    <t>Talla</t>
  </si>
  <si>
    <t>Fecha de venta</t>
  </si>
  <si>
    <t>Venta</t>
  </si>
  <si>
    <t>Ganancia</t>
  </si>
  <si>
    <t>FC Barcelona 25-26 Version jugador</t>
  </si>
  <si>
    <t>LAMINE YAMAL</t>
  </si>
  <si>
    <t>L</t>
  </si>
  <si>
    <t>Real Madrid 25-26 Version jugador</t>
  </si>
  <si>
    <t>MBAPPE</t>
  </si>
  <si>
    <t>M</t>
  </si>
  <si>
    <t>PEDRI</t>
  </si>
  <si>
    <t xml:space="preserve"> $-   </t>
  </si>
  <si>
    <t>Chelsea 2025/26</t>
  </si>
  <si>
    <t>Cole Palmer</t>
  </si>
  <si>
    <t>Conjunto Golden state</t>
  </si>
  <si>
    <t>CURRY</t>
  </si>
  <si>
    <t>XL</t>
  </si>
  <si>
    <t>S</t>
  </si>
  <si>
    <t>Pedri</t>
  </si>
  <si>
    <t>FC Barcelona Travis scott</t>
  </si>
  <si>
    <t>Real Madrid</t>
  </si>
  <si>
    <t>Mbappe</t>
  </si>
  <si>
    <t>FC Barcelona parche</t>
  </si>
  <si>
    <t>Cruz azul local 25/26</t>
  </si>
  <si>
    <t>Cruz azul visitante 25/26</t>
  </si>
  <si>
    <t>PSG</t>
  </si>
  <si>
    <t>MEXICO</t>
  </si>
  <si>
    <t>Conjunto Lakers</t>
  </si>
  <si>
    <t>JAMES</t>
  </si>
  <si>
    <t>Conjunto Chicago bulls</t>
  </si>
  <si>
    <t>JORDAN</t>
  </si>
  <si>
    <t>Conjunto Real Madrid nni–o</t>
  </si>
  <si>
    <t>MBAPPƒ</t>
  </si>
  <si>
    <t>Conjunto inter miami ni–o</t>
  </si>
  <si>
    <t>MESSI</t>
  </si>
  <si>
    <t>Conjunto FC Barcelona ni–o</t>
  </si>
  <si>
    <t>Lamine Yamal</t>
  </si>
  <si>
    <t>Monterrey mundial version jugador</t>
  </si>
  <si>
    <t>Sergio Ramos</t>
  </si>
  <si>
    <t>Inter miami version jugador</t>
  </si>
  <si>
    <t>Messi</t>
  </si>
  <si>
    <t>FC Barcelona 25-26 version jugador</t>
  </si>
  <si>
    <t>Lewandowski</t>
  </si>
  <si>
    <t>Real Madrid Alternativa 25-26 Version jugador</t>
  </si>
  <si>
    <t>VINI JR</t>
  </si>
  <si>
    <t>America 25-26 Version jugador</t>
  </si>
  <si>
    <t>HENRY</t>
  </si>
  <si>
    <t>AC Milan 25/26</t>
  </si>
  <si>
    <t>GIMENEZ</t>
  </si>
  <si>
    <t>Xl</t>
  </si>
  <si>
    <t>Jersey Vedidas</t>
  </si>
  <si>
    <t>Jersey disponible</t>
  </si>
  <si>
    <t>Total Costo</t>
  </si>
  <si>
    <t>Total venta</t>
  </si>
  <si>
    <t>Total Costo de disponibles</t>
  </si>
  <si>
    <t>Ganancia promedio por jersey vendida</t>
  </si>
  <si>
    <t>Ganancia esperada total</t>
  </si>
  <si>
    <t>Total jerseys</t>
  </si>
  <si>
    <t>Ganancia por ganar</t>
  </si>
  <si>
    <t>Cruz  Azul local 25/26</t>
  </si>
  <si>
    <t>FC Barcelona visitante 25/26</t>
  </si>
  <si>
    <t>Manchester United Retro</t>
  </si>
  <si>
    <t>NFL Seahawks</t>
  </si>
  <si>
    <t>3xl</t>
  </si>
  <si>
    <t>CANALES</t>
  </si>
  <si>
    <t>2XL</t>
  </si>
  <si>
    <t>3XL</t>
  </si>
  <si>
    <t>Ronaldo</t>
  </si>
  <si>
    <t>Monterrey Local</t>
  </si>
  <si>
    <t>Monterrey visita</t>
  </si>
  <si>
    <t>m</t>
  </si>
  <si>
    <t>Berte</t>
  </si>
  <si>
    <t>xl</t>
  </si>
  <si>
    <t>=</t>
  </si>
  <si>
    <t>Ventas por jersey apartadas</t>
  </si>
  <si>
    <t>Ganancia por jersey apartada</t>
  </si>
  <si>
    <t>Real Betis</t>
  </si>
  <si>
    <t>2xl</t>
  </si>
  <si>
    <t xml:space="preserve">l </t>
  </si>
  <si>
    <t>l</t>
  </si>
  <si>
    <t>Argentina 25/26</t>
  </si>
  <si>
    <t>Portugal</t>
  </si>
  <si>
    <t>America visitante</t>
  </si>
  <si>
    <t>America visitante mujer</t>
  </si>
  <si>
    <t>Barcelona prepartido</t>
  </si>
  <si>
    <t>Barcelona tercera equipacion</t>
  </si>
  <si>
    <t>Chelsea Tercera</t>
  </si>
  <si>
    <t>Portugal total 90</t>
  </si>
  <si>
    <t>Brazil Total 90</t>
  </si>
  <si>
    <t>Holanda Total 90</t>
  </si>
  <si>
    <t>America visita manga larga</t>
  </si>
  <si>
    <t>NFL Steelers</t>
  </si>
  <si>
    <t>Rodgers</t>
  </si>
  <si>
    <t>Barcelona POLO</t>
  </si>
  <si>
    <t>NFL 49ers</t>
  </si>
  <si>
    <t>Purdy</t>
  </si>
  <si>
    <t>NFL GreenBay</t>
  </si>
  <si>
    <t>FC Barcelona alternativa</t>
  </si>
  <si>
    <t>Ac milan black</t>
  </si>
  <si>
    <t>CR7 SET</t>
  </si>
  <si>
    <t>NFL BRONCOS KID</t>
  </si>
  <si>
    <t>NFL PACKERS</t>
  </si>
  <si>
    <t>NFL COWBOYS</t>
  </si>
  <si>
    <t>NFL RAVENS</t>
  </si>
  <si>
    <t>CHIVAS</t>
  </si>
  <si>
    <t>FC BARCELONA</t>
  </si>
  <si>
    <t>CRUZ AZUL ALTERNATIVA</t>
  </si>
  <si>
    <t>Conjunto NBA Curry</t>
  </si>
  <si>
    <t>TIGRES</t>
  </si>
  <si>
    <t>SHORT FC BARCELONA</t>
  </si>
  <si>
    <t>FC BARCELONA RETRO</t>
  </si>
  <si>
    <t>NFL PATS</t>
  </si>
  <si>
    <t>NFL pats</t>
  </si>
  <si>
    <t>Barcelona 4th</t>
  </si>
  <si>
    <t>Barcelona 2019/20</t>
  </si>
  <si>
    <t>XXL</t>
  </si>
  <si>
    <t>Etiquetas de fila</t>
  </si>
  <si>
    <t>Total general</t>
  </si>
  <si>
    <t>Chivas</t>
  </si>
  <si>
    <t>Rayados Local</t>
  </si>
  <si>
    <t>Rayados visita</t>
  </si>
  <si>
    <t>Detalles de Cuenta de Fecha de venta - Meses (Fecha de venta): Feb</t>
  </si>
  <si>
    <t>Jan</t>
  </si>
  <si>
    <t>Feb</t>
  </si>
  <si>
    <t>Jul</t>
  </si>
  <si>
    <t>Aug</t>
  </si>
  <si>
    <t>Sep</t>
  </si>
  <si>
    <t>Oct</t>
  </si>
  <si>
    <t>Nov</t>
  </si>
  <si>
    <t>Dec</t>
  </si>
  <si>
    <t>Detalles de Suma de  Costo total  - Meses (Fecha de venta): Oct</t>
  </si>
  <si>
    <t>Jun</t>
  </si>
  <si>
    <t>Detalles de Suma de  Costo total  - Meses (Fecha de compra): &lt;6/12/2025</t>
  </si>
  <si>
    <t>Etiquetas de columna</t>
  </si>
  <si>
    <t>Ventas por mes</t>
  </si>
  <si>
    <t>Ganancia promedio por jersey</t>
  </si>
  <si>
    <t>Total Ganancia por mes</t>
  </si>
  <si>
    <t>Jerseys comprados</t>
  </si>
  <si>
    <t>Costo jerseys por mes</t>
  </si>
  <si>
    <t>PROMEDIO GANANCIA MENSUAL</t>
  </si>
  <si>
    <t>TOTAL GANANCIAS</t>
  </si>
  <si>
    <t>&lt;1/19/2025</t>
  </si>
  <si>
    <t>Detalles de Ventas por mes - Meses (Fecha de venta): Feb</t>
  </si>
  <si>
    <t>TOTAL COSTOS EXISTENCIAS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</si>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</sst>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0" applyNumberFormat="1"/>
    <xf numFmtId="165" fontId="0" fillId="0" borderId="0" xfId="1" applyFont="1"/>
    <xf numFmtId="165" fontId="0" fillId="0" borderId="0" xfId="0" applyNumberFormat="1"/>
    <xf numFmtId="166" fontId="0" fillId="0" borderId="0" xfId="0" applyNumberFormat="1"/>
    <xf numFmtId="0" fontId="0" fillId="33" borderId="10" xfId="0" applyFill="1" applyBorder="1"/>
    <xf numFmtId="14" fontId="0" fillId="33" borderId="10" xfId="0" applyNumberFormat="1" applyFill="1" applyBorder="1"/>
    <xf numFmtId="164" fontId="0" fillId="33" borderId="10" xfId="0" applyNumberFormat="1" applyFill="1" applyBorder="1"/>
    <xf numFmtId="165" fontId="0" fillId="33" borderId="10" xfId="1" applyFont="1" applyFill="1" applyBorder="1"/>
    <xf numFmtId="0" fontId="0" fillId="34" borderId="10" xfId="0" applyFill="1" applyBorder="1"/>
    <xf numFmtId="14" fontId="0" fillId="34" borderId="10" xfId="0" applyNumberFormat="1" applyFill="1" applyBorder="1"/>
    <xf numFmtId="164" fontId="0" fillId="34" borderId="10" xfId="0" applyNumberFormat="1" applyFill="1" applyBorder="1"/>
    <xf numFmtId="165" fontId="0" fillId="34" borderId="10" xfId="1" applyFont="1" applyFill="1" applyBorder="1"/>
    <xf numFmtId="0" fontId="0" fillId="33" borderId="11" xfId="0" applyFill="1" applyBorder="1"/>
    <xf numFmtId="0" fontId="0" fillId="34" borderId="11" xfId="0" applyFill="1" applyBorder="1"/>
    <xf numFmtId="165" fontId="0" fillId="33" borderId="12" xfId="0" applyNumberFormat="1" applyFill="1" applyBorder="1"/>
    <xf numFmtId="14" fontId="0" fillId="33" borderId="17" xfId="0" applyNumberFormat="1" applyFill="1" applyBorder="1"/>
    <xf numFmtId="164" fontId="0" fillId="33" borderId="17" xfId="0" applyNumberFormat="1" applyFill="1" applyBorder="1"/>
    <xf numFmtId="0" fontId="0" fillId="33" borderId="17" xfId="0" applyFill="1" applyBorder="1"/>
    <xf numFmtId="165" fontId="0" fillId="33" borderId="17" xfId="1" applyFont="1" applyFill="1" applyBorder="1"/>
    <xf numFmtId="165" fontId="0" fillId="33" borderId="18" xfId="0" applyNumberFormat="1" applyFill="1" applyBorder="1"/>
    <xf numFmtId="0" fontId="13" fillId="35" borderId="13" xfId="0" applyFont="1" applyFill="1" applyBorder="1"/>
    <xf numFmtId="0" fontId="13" fillId="35" borderId="14" xfId="0" applyFont="1" applyFill="1" applyBorder="1"/>
    <xf numFmtId="0" fontId="13" fillId="35" borderId="15" xfId="0" applyFont="1" applyFill="1" applyBorder="1"/>
    <xf numFmtId="16" fontId="0" fillId="33" borderId="10" xfId="0" applyNumberFormat="1" applyFill="1" applyBorder="1"/>
    <xf numFmtId="16" fontId="0" fillId="0" borderId="0" xfId="0" applyNumberFormat="1"/>
    <xf numFmtId="0" fontId="0" fillId="33" borderId="16" xfId="0" applyFill="1" applyBorder="1"/>
    <xf numFmtId="0" fontId="19" fillId="0" borderId="0" xfId="43"/>
    <xf numFmtId="14" fontId="0" fillId="0" borderId="0" xfId="0" applyNumberFormat="1"/>
    <xf numFmtId="0" fontId="0" fillId="34" borderId="16" xfId="0" applyFill="1" applyBorder="1"/>
    <xf numFmtId="14" fontId="0" fillId="34" borderId="17" xfId="0" applyNumberFormat="1" applyFill="1" applyBorder="1"/>
    <xf numFmtId="164" fontId="0" fillId="34" borderId="17" xfId="0" applyNumberFormat="1" applyFill="1" applyBorder="1"/>
    <xf numFmtId="0" fontId="0" fillId="34" borderId="17" xfId="0" applyFill="1" applyBorder="1"/>
    <xf numFmtId="165" fontId="0" fillId="34" borderId="17" xfId="1" applyFont="1" applyFill="1" applyBorder="1"/>
    <xf numFmtId="0" fontId="20" fillId="35" borderId="19" xfId="0" applyFont="1" applyFill="1" applyBorder="1"/>
    <xf numFmtId="14" fontId="21" fillId="33" borderId="18" xfId="0" applyNumberFormat="1" applyFont="1" applyFill="1" applyBorder="1"/>
    <xf numFmtId="0" fontId="21" fillId="33" borderId="18" xfId="0" applyFont="1" applyFill="1" applyBorder="1"/>
    <xf numFmtId="14" fontId="21" fillId="34" borderId="18" xfId="0" applyNumberFormat="1" applyFont="1" applyFill="1" applyBorder="1"/>
    <xf numFmtId="0" fontId="21" fillId="34" borderId="18" xfId="0" applyFont="1" applyFill="1" applyBorder="1"/>
    <xf numFmtId="16" fontId="21" fillId="33" borderId="18" xfId="0" applyNumberFormat="1" applyFont="1" applyFill="1" applyBorder="1"/>
    <xf numFmtId="0" fontId="21" fillId="36" borderId="20" xfId="0" applyFont="1" applyFill="1" applyBorder="1"/>
    <xf numFmtId="0" fontId="21" fillId="0" borderId="21" xfId="0" applyFont="1" applyBorder="1"/>
    <xf numFmtId="0" fontId="21" fillId="36" borderId="21" xfId="0" applyFont="1" applyFill="1" applyBorder="1"/>
    <xf numFmtId="14" fontId="21" fillId="36" borderId="18" xfId="0" applyNumberFormat="1" applyFont="1" applyFill="1" applyBorder="1"/>
    <xf numFmtId="0" fontId="21" fillId="33" borderId="22" xfId="0" applyFont="1" applyFill="1" applyBorder="1"/>
    <xf numFmtId="14" fontId="21" fillId="33" borderId="22" xfId="0" applyNumberFormat="1" applyFont="1" applyFill="1" applyBorder="1"/>
    <xf numFmtId="14" fontId="21" fillId="36" borderId="21" xfId="0" applyNumberFormat="1" applyFont="1" applyFill="1" applyBorder="1"/>
    <xf numFmtId="14" fontId="21" fillId="0" borderId="21" xfId="0" applyNumberFormat="1" applyFont="1" applyBorder="1"/>
    <xf numFmtId="0" fontId="21" fillId="36" borderId="18" xfId="0" applyFont="1" applyFill="1" applyBorder="1"/>
    <xf numFmtId="0" fontId="21" fillId="36" borderId="22" xfId="0" applyFont="1" applyFill="1" applyBorder="1"/>
    <xf numFmtId="0" fontId="21" fillId="0" borderId="22" xfId="0" applyFont="1" applyBorder="1"/>
    <xf numFmtId="14" fontId="21" fillId="36" borderId="20" xfId="0" applyNumberFormat="1" applyFont="1" applyFill="1" applyBorder="1"/>
    <xf numFmtId="165" fontId="21" fillId="33" borderId="18" xfId="1" applyFont="1" applyFill="1" applyBorder="1"/>
    <xf numFmtId="165" fontId="21" fillId="33" borderId="17" xfId="0" applyNumberFormat="1" applyFont="1" applyFill="1" applyBorder="1"/>
    <xf numFmtId="165" fontId="21" fillId="34" borderId="18" xfId="1" applyFont="1" applyFill="1" applyBorder="1"/>
    <xf numFmtId="0" fontId="0" fillId="33" borderId="18" xfId="0" applyFill="1" applyBorder="1"/>
    <xf numFmtId="14" fontId="0" fillId="33" borderId="18" xfId="0" applyNumberFormat="1" applyFill="1" applyBorder="1"/>
    <xf numFmtId="0" fontId="20" fillId="35" borderId="23" xfId="0" applyFont="1" applyFill="1" applyBorder="1"/>
    <xf numFmtId="165" fontId="0" fillId="0" borderId="0" xfId="1" applyFont="1" applyBorder="1"/>
    <xf numFmtId="165" fontId="21" fillId="33" borderId="22" xfId="1" applyFont="1" applyFill="1" applyBorder="1"/>
    <xf numFmtId="165" fontId="0" fillId="33" borderId="17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14" fontId="0" fillId="0" borderId="0" xfId="0" applyNumberFormat="1" applyAlignment="1">
      <alignment horizontal="left" indent="1"/>
    </xf>
    <xf numFmtId="165" fontId="22" fillId="37" borderId="0" xfId="1" applyFont="1" applyFill="1" applyAlignment="1">
      <alignment horizontal="center" vertical="top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165" fontId="23" fillId="37" borderId="0" xfId="1" applyFont="1" applyFill="1" applyAlignment="1">
      <alignment horizontal="center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;[Red]\-&quot;$&quot;#,##0.00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;[Red]\-&quot;$&quot;#,##0.00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;[Red]\-&quot;$&quot;#,##0.00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308535</xdr:colOff>
      <xdr:row>2</xdr:row>
      <xdr:rowOff>17556</xdr:rowOff>
    </xdr:from>
    <xdr:to>
      <xdr:col>14</xdr:col>
      <xdr:colOff>321236</xdr:colOff>
      <xdr:row>16</xdr:row>
      <xdr:rowOff>22222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ses (Fecha de venta)">
              <a:extLst>
                <a:ext uri="{FF2B5EF4-FFF2-40B4-BE49-F238E27FC236}">
                  <a16:creationId xmlns:a16="http://schemas.microsoft.com/office/drawing/2014/main" id="{C1C529CA-9E0C-D76A-2198-7118805272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 de 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064" y="391085"/>
              <a:ext cx="216423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ronaldo corral carrillo" refreshedDate="46078.445924652777" createdVersion="8" refreshedVersion="8" minRefreshableVersion="3" recordCount="191" xr:uid="{23F08B24-DCEF-4289-AA20-BC438225A594}">
  <cacheSource type="worksheet">
    <worksheetSource name="Tabla2"/>
  </cacheSource>
  <cacheFields count="14">
    <cacheField name="Pedido" numFmtId="0">
      <sharedItems containsSemiMixedTypes="0" containsString="0" containsNumber="1" containsInteger="1" minValue="1" maxValue="19"/>
    </cacheField>
    <cacheField name="Fecha de compra" numFmtId="14">
      <sharedItems containsSemiMixedTypes="0" containsNonDate="0" containsDate="1" containsString="0" minDate="2025-03-12T00:00:00" maxDate="2026-06-03T00:00:00" count="21">
        <d v="2025-06-12T00:00:00"/>
        <d v="2025-07-02T00:00:00"/>
        <d v="2025-07-11T00:00:00"/>
        <d v="2025-08-04T00:00:00"/>
        <d v="2025-08-18T00:00:00"/>
        <d v="2025-08-23T00:00:00"/>
        <d v="2025-08-28T00:00:00"/>
        <d v="2025-09-10T00:00:00"/>
        <d v="2025-09-20T00:00:00"/>
        <d v="2025-10-05T00:00:00"/>
        <d v="2025-10-25T00:00:00"/>
        <d v="2025-10-15T00:00:00"/>
        <d v="2025-12-03T00:00:00"/>
        <d v="2025-12-31T00:00:00"/>
        <d v="2026-01-18T00:00:00"/>
        <d v="2026-01-31T00:00:00"/>
        <d v="2026-02-05T00:00:00"/>
        <d v="2026-02-06T00:00:00"/>
        <d v="2025-03-12T00:00:00" u="1"/>
        <d v="2026-05-02T00:00:00" u="1"/>
        <d v="2026-06-02T00:00:00" u="1"/>
      </sharedItems>
      <fieldGroup par="12"/>
    </cacheField>
    <cacheField name="Fecha llegada" numFmtId="0">
      <sharedItems containsNonDate="0" containsDate="1" containsString="0" containsBlank="1" minDate="2025-07-03T00:00:00" maxDate="2025-10-13T00:00:00"/>
    </cacheField>
    <cacheField name=" Costo " numFmtId="165">
      <sharedItems containsString="0" containsBlank="1" containsNumber="1" minValue="6" maxValue="22.33"/>
    </cacheField>
    <cacheField name=" Costo de envio " numFmtId="165">
      <sharedItems containsString="0" containsBlank="1" containsNumber="1" minValue="0" maxValue="8.33"/>
    </cacheField>
    <cacheField name=" Costo total " numFmtId="165">
      <sharedItems containsSemiMixedTypes="0" containsString="0" containsNumber="1" minValue="0" maxValue="23.714285714285715"/>
    </cacheField>
    <cacheField name="Modelo" numFmtId="0">
      <sharedItems count="62">
        <s v="FC Barcelona 25-26 Version jugador"/>
        <s v="Real Madrid 25-26 Version jugador"/>
        <s v="Monterrey mundial version jugador"/>
        <s v="FC Barcelona parche"/>
        <s v="Conjunto Golden state"/>
        <s v="Cruz azul visitante 25/26"/>
        <s v="MEXICO"/>
        <s v="Conjunto FC Barcelona ni–o"/>
        <s v="Conjunto Real Madrid nni–o"/>
        <s v="PSG"/>
        <s v="Conjunto Chicago bulls"/>
        <s v="Conjunto Lakers"/>
        <s v="Conjunto inter miami ni–o"/>
        <s v="AC Milan 25/26"/>
        <s v="Real Madrid Alternativa 25-26 Version jugador"/>
        <s v="Cruz azul local 25/26"/>
        <s v="America 25-26 Version jugador"/>
        <s v="Inter miami version jugador"/>
        <s v="Chelsea 2025/26"/>
        <s v="FC Barcelona visitante 25/26"/>
        <s v="FC Barcelona Travis scott"/>
        <s v="Real Madrid"/>
        <s v="Cruz  Azul local 25/26"/>
        <s v="NFL Seahawks"/>
        <s v="Real Betis"/>
        <s v="Manchester United Retro"/>
        <s v="Monterrey visita"/>
        <s v="Monterrey Local"/>
        <s v="Barcelona prepartido"/>
        <s v="Barcelona tercera equipacion"/>
        <s v="Chelsea Tercera"/>
        <s v="America visita manga larga"/>
        <s v="Holanda Total 90"/>
        <s v="Brazil Total 90"/>
        <s v="Argentina 25/26"/>
        <s v="Portugal"/>
        <s v="America visitante mujer"/>
        <s v="America visitante"/>
        <s v="Portugal total 90"/>
        <s v="NFL Steelers"/>
        <s v="NFL 49ers"/>
        <s v="NFL GreenBay"/>
        <s v="Barcelona POLO"/>
        <s v="Ac milan black"/>
        <s v="FC Barcelona alternativa"/>
        <s v="NFL BRONCOS KID"/>
        <s v="CR7 SET"/>
        <s v="NFL PACKERS"/>
        <s v="NFL COWBOYS"/>
        <s v="NFL RAVENS"/>
        <s v="CHIVAS"/>
        <s v="FC BARCELONA"/>
        <s v="CRUZ AZUL ALTERNATIVA"/>
        <s v="Conjunto NBA Curry"/>
        <s v="TIGRES"/>
        <s v="SHORT FC BARCELONA"/>
        <s v="FC BARCELONA RETRO"/>
        <s v="NFL PATS"/>
        <s v="Barcelona 4th"/>
        <s v="Barcelona 2019/20"/>
        <s v="Rayados Local"/>
        <s v="Rayados visita"/>
      </sharedItems>
    </cacheField>
    <cacheField name="Jugador" numFmtId="0">
      <sharedItems containsBlank="1"/>
    </cacheField>
    <cacheField name="Talla" numFmtId="0">
      <sharedItems containsBlank="1" containsMixedTypes="1" containsNumber="1" containsInteger="1" minValue="22" maxValue="28"/>
    </cacheField>
    <cacheField name="Fecha de venta" numFmtId="0">
      <sharedItems containsNonDate="0" containsDate="1" containsString="0" containsBlank="1" minDate="2025-01-19T00:00:00" maxDate="2026-02-26T00:00:00" count="88">
        <d v="2025-07-15T00:00:00"/>
        <d v="2025-07-10T00:00:00"/>
        <d v="2025-07-08T00:00:00"/>
        <d v="2025-07-07T00:00:00"/>
        <d v="2025-07-06T00:00:00"/>
        <d v="2025-07-05T00:00:00"/>
        <d v="2025-07-03T00:00:00"/>
        <m/>
        <d v="2025-11-06T00:00:00"/>
        <d v="2025-09-03T00:00:00"/>
        <d v="2025-08-06T00:00:00"/>
        <d v="2025-08-04T00:00:00"/>
        <d v="2025-07-24T00:00:00"/>
        <d v="2025-12-01T00:00:00"/>
        <d v="2025-11-19T00:00:00"/>
        <d v="2025-11-10T00:00:00"/>
        <d v="2025-08-05T00:00:00"/>
        <d v="2025-10-12T00:00:00"/>
        <d v="2025-10-01T00:00:00"/>
        <d v="2025-09-26T00:00:00"/>
        <d v="2025-08-24T00:00:00"/>
        <d v="2025-09-13T00:00:00"/>
        <d v="2025-09-14T00:00:00"/>
        <d v="2025-10-06T00:00:00"/>
        <d v="2025-09-09T00:00:00"/>
        <d v="2025-10-13T00:00:00"/>
        <d v="2025-10-19T00:00:00"/>
        <d v="2025-11-09T00:00:00"/>
        <d v="2025-09-06T00:00:00"/>
        <d v="2025-09-05T00:00:00"/>
        <d v="2025-12-08T00:00:00"/>
        <d v="2025-08-30T00:00:00"/>
        <d v="2025-08-21T00:00:00"/>
        <d v="2025-08-17T00:00:00"/>
        <d v="2025-08-13T00:00:00"/>
        <d v="2025-08-08T00:00:00"/>
        <d v="2026-01-16T00:00:00"/>
        <d v="2025-09-18T00:00:00"/>
        <d v="2025-08-27T00:00:00"/>
        <d v="2025-08-26T00:00:00"/>
        <d v="2025-11-13T00:00:00"/>
        <d v="2025-10-21T00:00:00"/>
        <d v="2025-09-15T00:00:00"/>
        <d v="2025-09-08T00:00:00"/>
        <d v="2025-11-28T00:00:00"/>
        <d v="2025-10-31T00:00:00"/>
        <d v="2025-10-16T00:00:00"/>
        <d v="2025-10-03T00:00:00"/>
        <d v="2025-09-23T00:00:00"/>
        <d v="2025-09-19T00:00:00"/>
        <d v="2025-09-10T00:00:00"/>
        <d v="2025-09-16T00:00:00"/>
        <d v="2025-11-05T00:00:00"/>
        <d v="2025-09-21T00:00:00"/>
        <d v="2025-09-20T00:00:00"/>
        <d v="2025-09-25T00:00:00"/>
        <d v="2025-09-24T00:00:00"/>
        <d v="2025-11-07T00:00:00"/>
        <d v="2025-11-04T00:00:00"/>
        <d v="2025-10-29T00:00:00"/>
        <d v="2025-10-15T00:00:00"/>
        <d v="2025-12-19T00:00:00"/>
        <d v="2026-01-31T00:00:00"/>
        <d v="2025-12-10T00:00:00"/>
        <d v="2025-01-19T00:00:00"/>
        <d v="2025-10-23T00:00:00"/>
        <d v="2025-11-29T00:00:00"/>
        <d v="2025-11-03T00:00:00"/>
        <d v="2025-11-18T00:00:00"/>
        <d v="2025-11-01T00:00:00"/>
        <d v="2026-01-08T00:00:00"/>
        <d v="2026-01-22T00:00:00"/>
        <d v="2026-01-14T00:00:00"/>
        <d v="2026-02-06T00:00:00"/>
        <d v="2026-01-27T00:00:00"/>
        <d v="2026-02-21T00:00:00"/>
        <d v="2026-02-19T00:00:00"/>
        <d v="2026-01-29T00:00:00"/>
        <d v="2026-02-01T00:00:00"/>
        <d v="2026-02-02T00:00:00"/>
        <d v="2026-02-11T00:00:00"/>
        <d v="2026-02-13T00:00:00"/>
        <d v="2026-02-18T00:00:00"/>
        <d v="2026-01-26T00:00:00"/>
        <d v="2026-02-12T00:00:00"/>
        <d v="2026-02-05T00:00:00"/>
        <d v="2026-02-25T00:00:00"/>
        <d v="2026-01-20T00:00:00" u="1"/>
      </sharedItems>
      <fieldGroup par="13"/>
    </cacheField>
    <cacheField name="Venta" numFmtId="0">
      <sharedItems containsString="0" containsBlank="1" containsNumber="1" minValue="0" maxValue="48.19"/>
    </cacheField>
    <cacheField name="Ganancia" numFmtId="0">
      <sharedItems containsSemiMixedTypes="0" containsString="0" containsNumber="1" minValue="-23.714285714285715" maxValue="32.69"/>
    </cacheField>
    <cacheField name="Meses (Fecha de compra)" numFmtId="0" databaseField="0">
      <fieldGroup base="1">
        <rangePr groupBy="months" startDate="2025-06-12T00:00:00" endDate="2026-02-07T00:00:00"/>
        <groupItems count="14">
          <s v="&lt;6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7/2026"/>
        </groupItems>
      </fieldGroup>
    </cacheField>
    <cacheField name="Meses (Fecha de venta)" numFmtId="0" databaseField="0">
      <fieldGroup base="9">
        <rangePr groupBy="months" startDate="2025-01-19T00:00:00" endDate="2026-02-26T00:00:00"/>
        <groupItems count="14">
          <s v="&lt;1/19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6/2026"/>
        </groupItems>
      </fieldGroup>
    </cacheField>
  </cacheFields>
  <extLst>
    <ext xmlns:x14="http://schemas.microsoft.com/office/spreadsheetml/2009/9/main" uri="{725AE2AE-9491-48be-B2B4-4EB974FC3084}">
      <x14:pivotCacheDefinition pivotCacheId="1508657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n v="1"/>
    <x v="0"/>
    <d v="2025-07-03T00:00:00"/>
    <n v="10"/>
    <n v="5"/>
    <n v="15"/>
    <x v="0"/>
    <m/>
    <s v="M"/>
    <x v="0"/>
    <n v="26.87"/>
    <n v="11.870000000000001"/>
  </r>
  <r>
    <n v="1"/>
    <x v="0"/>
    <d v="2025-07-03T00:00:00"/>
    <n v="10.5"/>
    <n v="6"/>
    <n v="16.5"/>
    <x v="1"/>
    <m/>
    <s v="M"/>
    <x v="1"/>
    <n v="26.87"/>
    <n v="10.370000000000001"/>
  </r>
  <r>
    <n v="1"/>
    <x v="0"/>
    <d v="2025-07-03T00:00:00"/>
    <n v="10.5"/>
    <n v="6"/>
    <n v="16.5"/>
    <x v="0"/>
    <m/>
    <s v="XL"/>
    <x v="2"/>
    <n v="29.55"/>
    <n v="13.05"/>
  </r>
  <r>
    <n v="1"/>
    <x v="0"/>
    <d v="2025-07-03T00:00:00"/>
    <n v="10.5"/>
    <n v="6"/>
    <n v="16.5"/>
    <x v="1"/>
    <s v="MBAPPE"/>
    <s v="L"/>
    <x v="3"/>
    <n v="37.6"/>
    <n v="21.1"/>
  </r>
  <r>
    <n v="1"/>
    <x v="0"/>
    <d v="2025-07-03T00:00:00"/>
    <n v="10.5"/>
    <n v="6"/>
    <n v="16.5"/>
    <x v="0"/>
    <s v="PEDRI"/>
    <s v="L"/>
    <x v="4"/>
    <n v="37.57"/>
    <n v="21.07"/>
  </r>
  <r>
    <n v="1"/>
    <x v="0"/>
    <d v="2025-07-03T00:00:00"/>
    <n v="10.5"/>
    <n v="6"/>
    <n v="16.5"/>
    <x v="1"/>
    <m/>
    <s v="XL"/>
    <x v="5"/>
    <n v="32.200000000000003"/>
    <n v="15.700000000000003"/>
  </r>
  <r>
    <n v="1"/>
    <x v="0"/>
    <d v="2025-07-03T00:00:00"/>
    <n v="11"/>
    <n v="6"/>
    <n v="17"/>
    <x v="0"/>
    <s v="LAMINE YAMAL"/>
    <s v="L"/>
    <x v="6"/>
    <n v="48.19"/>
    <n v="31.189999999999998"/>
  </r>
  <r>
    <n v="1"/>
    <x v="0"/>
    <d v="2025-07-03T00:00:00"/>
    <n v="11"/>
    <n v="6"/>
    <n v="17"/>
    <x v="0"/>
    <s v="LAMINE YAMAL"/>
    <s v="L"/>
    <x v="6"/>
    <n v="48.19"/>
    <n v="31.189999999999998"/>
  </r>
  <r>
    <n v="1"/>
    <x v="0"/>
    <d v="2025-07-03T00:00:00"/>
    <n v="10.5"/>
    <n v="6"/>
    <n v="16.5"/>
    <x v="1"/>
    <s v="MBAPPE"/>
    <s v="L"/>
    <x v="6"/>
    <n v="40"/>
    <n v="23.5"/>
  </r>
  <r>
    <n v="1"/>
    <x v="0"/>
    <d v="2025-07-03T00:00:00"/>
    <n v="11"/>
    <n v="6"/>
    <n v="17"/>
    <x v="1"/>
    <s v="VINI JR"/>
    <s v="L"/>
    <x v="7"/>
    <m/>
    <n v="-17"/>
  </r>
  <r>
    <n v="2"/>
    <x v="1"/>
    <d v="2025-07-22T00:00:00"/>
    <n v="11"/>
    <n v="6"/>
    <n v="17"/>
    <x v="0"/>
    <s v="LAMINE YAMAL"/>
    <s v="L"/>
    <x v="8"/>
    <n v="29.58"/>
    <n v="12.579999999999998"/>
  </r>
  <r>
    <n v="2"/>
    <x v="1"/>
    <d v="2025-07-22T00:00:00"/>
    <n v="11"/>
    <n v="6"/>
    <n v="17"/>
    <x v="0"/>
    <s v="LAMINE YAMAL"/>
    <s v="XL"/>
    <x v="9"/>
    <n v="32.200000000000003"/>
    <n v="15.200000000000003"/>
  </r>
  <r>
    <n v="2"/>
    <x v="1"/>
    <d v="2025-07-22T00:00:00"/>
    <n v="10.5"/>
    <n v="6"/>
    <n v="17"/>
    <x v="0"/>
    <s v="LAMINE YAMAL"/>
    <s v="L"/>
    <x v="10"/>
    <n v="32.25"/>
    <n v="15.25"/>
  </r>
  <r>
    <n v="2"/>
    <x v="1"/>
    <d v="2025-07-22T00:00:00"/>
    <n v="10.5"/>
    <n v="6"/>
    <n v="16.5"/>
    <x v="0"/>
    <s v="LAMINE YAMAL"/>
    <s v="L"/>
    <x v="11"/>
    <n v="32.25"/>
    <n v="15.75"/>
  </r>
  <r>
    <n v="2"/>
    <x v="1"/>
    <d v="2025-07-22T00:00:00"/>
    <n v="11"/>
    <n v="6"/>
    <n v="16.5"/>
    <x v="0"/>
    <s v="LAMINE YAMAL"/>
    <s v="M"/>
    <x v="12"/>
    <n v="37.630000000000003"/>
    <n v="21.130000000000003"/>
  </r>
  <r>
    <n v="3"/>
    <x v="2"/>
    <d v="2025-08-12T00:00:00"/>
    <n v="9"/>
    <n v="5.92"/>
    <n v="16.420000000000002"/>
    <x v="0"/>
    <s v="PEDRI"/>
    <s v="L"/>
    <x v="13"/>
    <n v="30.05"/>
    <n v="13.629999999999999"/>
  </r>
  <r>
    <n v="3"/>
    <x v="2"/>
    <d v="2025-08-12T00:00:00"/>
    <n v="11"/>
    <n v="5.92"/>
    <n v="14.92"/>
    <x v="2"/>
    <s v="Sergio Ramos"/>
    <s v="XL"/>
    <x v="14"/>
    <n v="32.69"/>
    <n v="17.769999999999996"/>
  </r>
  <r>
    <n v="3"/>
    <x v="2"/>
    <d v="2025-08-12T00:00:00"/>
    <n v="8"/>
    <n v="5.92"/>
    <n v="17.920000000000002"/>
    <x v="3"/>
    <m/>
    <s v="S"/>
    <x v="15"/>
    <n v="32.520000000000003"/>
    <n v="14.600000000000001"/>
  </r>
  <r>
    <n v="3"/>
    <x v="2"/>
    <d v="2025-08-12T00:00:00"/>
    <n v="10.5"/>
    <n v="5.92"/>
    <n v="15.92"/>
    <x v="4"/>
    <s v="CURRY"/>
    <s v="XL"/>
    <x v="16"/>
    <n v="32.25"/>
    <n v="16.329999999999998"/>
  </r>
  <r>
    <n v="3"/>
    <x v="2"/>
    <d v="2025-08-12T00:00:00"/>
    <n v="12"/>
    <n v="5.92"/>
    <n v="16.420000000000002"/>
    <x v="1"/>
    <s v="VINI JR"/>
    <s v="XL"/>
    <x v="17"/>
    <n v="32.97"/>
    <n v="16.549999999999997"/>
  </r>
  <r>
    <n v="3"/>
    <x v="2"/>
    <d v="2025-08-12T00:00:00"/>
    <n v="9"/>
    <n v="5.92"/>
    <n v="14.92"/>
    <x v="5"/>
    <m/>
    <s v="M"/>
    <x v="18"/>
    <n v="27.22"/>
    <n v="12.299999999999999"/>
  </r>
  <r>
    <n v="3"/>
    <x v="2"/>
    <d v="2025-08-12T00:00:00"/>
    <n v="9"/>
    <n v="5.92"/>
    <n v="14.92"/>
    <x v="6"/>
    <m/>
    <s v="L"/>
    <x v="19"/>
    <n v="26.75"/>
    <n v="11.83"/>
  </r>
  <r>
    <n v="3"/>
    <x v="2"/>
    <d v="2025-08-03T00:00:00"/>
    <n v="9"/>
    <n v="5.92"/>
    <n v="13.92"/>
    <x v="7"/>
    <s v="LAMINE YAMAL"/>
    <n v="24"/>
    <x v="20"/>
    <n v="26.78"/>
    <n v="12.860000000000001"/>
  </r>
  <r>
    <n v="3"/>
    <x v="2"/>
    <d v="2025-08-03T00:00:00"/>
    <n v="11"/>
    <n v="5.92"/>
    <n v="16.920000000000002"/>
    <x v="7"/>
    <s v="LAMINE YAMAL"/>
    <n v="28"/>
    <x v="21"/>
    <n v="24.4"/>
    <n v="7.4799999999999969"/>
  </r>
  <r>
    <n v="3"/>
    <x v="2"/>
    <d v="2025-08-12T00:00:00"/>
    <n v="9"/>
    <n v="5.92"/>
    <n v="14.92"/>
    <x v="0"/>
    <s v="LAMINE YAMAL"/>
    <s v="L"/>
    <x v="22"/>
    <n v="35.25"/>
    <n v="20.329999999999998"/>
  </r>
  <r>
    <n v="3"/>
    <x v="2"/>
    <d v="2025-08-03T00:00:00"/>
    <n v="11"/>
    <n v="5.92"/>
    <n v="17.920000000000002"/>
    <x v="8"/>
    <s v="MBAPPƒ"/>
    <n v="28"/>
    <x v="23"/>
    <n v="24.46"/>
    <n v="6.5399999999999991"/>
  </r>
  <r>
    <n v="3"/>
    <x v="2"/>
    <d v="2025-08-12T00:00:00"/>
    <n v="9"/>
    <n v="5.92"/>
    <n v="14.92"/>
    <x v="9"/>
    <m/>
    <s v="L"/>
    <x v="24"/>
    <n v="26.82"/>
    <n v="11.9"/>
  </r>
  <r>
    <n v="3"/>
    <x v="2"/>
    <d v="2025-08-03T00:00:00"/>
    <n v="8"/>
    <n v="5.92"/>
    <n v="14.92"/>
    <x v="10"/>
    <s v="JORDAN"/>
    <s v="L"/>
    <x v="25"/>
    <n v="21.66"/>
    <n v="6.74"/>
  </r>
  <r>
    <n v="3"/>
    <x v="2"/>
    <d v="2025-08-03T00:00:00"/>
    <n v="8"/>
    <n v="5.92"/>
    <n v="16.920000000000002"/>
    <x v="4"/>
    <s v="CURRY"/>
    <s v="L"/>
    <x v="25"/>
    <n v="21.66"/>
    <n v="4.7399999999999984"/>
  </r>
  <r>
    <n v="3"/>
    <x v="2"/>
    <d v="2025-08-03T00:00:00"/>
    <n v="8"/>
    <n v="5.92"/>
    <n v="13.92"/>
    <x v="11"/>
    <s v="JAMES"/>
    <s v="XL"/>
    <x v="25"/>
    <n v="21.66"/>
    <n v="7.74"/>
  </r>
  <r>
    <n v="3"/>
    <x v="2"/>
    <d v="2025-08-03T00:00:00"/>
    <n v="10.65"/>
    <n v="5.92"/>
    <n v="16.420000000000002"/>
    <x v="12"/>
    <s v="MESSI"/>
    <n v="22"/>
    <x v="26"/>
    <n v="21.67"/>
    <n v="5.25"/>
  </r>
  <r>
    <n v="3"/>
    <x v="2"/>
    <d v="2025-08-03T00:00:00"/>
    <n v="8"/>
    <n v="5.92"/>
    <n v="17.920000000000002"/>
    <x v="4"/>
    <s v="CURRY"/>
    <s v="M"/>
    <x v="27"/>
    <n v="21.68"/>
    <n v="3.759999999999998"/>
  </r>
  <r>
    <n v="3"/>
    <x v="2"/>
    <d v="2025-08-12T00:00:00"/>
    <n v="11"/>
    <n v="5.92"/>
    <n v="16.920000000000002"/>
    <x v="13"/>
    <s v="GIMENEZ"/>
    <s v="L"/>
    <x v="28"/>
    <n v="34.880000000000003"/>
    <n v="17.96"/>
  </r>
  <r>
    <n v="3"/>
    <x v="2"/>
    <d v="2025-08-12T00:00:00"/>
    <n v="9"/>
    <n v="5.92"/>
    <n v="14.92"/>
    <x v="6"/>
    <m/>
    <s v="XL"/>
    <x v="29"/>
    <n v="26.67"/>
    <n v="11.750000000000002"/>
  </r>
  <r>
    <n v="3"/>
    <x v="2"/>
    <d v="2025-08-03T00:00:00"/>
    <n v="11"/>
    <n v="5.92"/>
    <n v="10.5"/>
    <x v="7"/>
    <s v="LAMINE YAMAL"/>
    <n v="26"/>
    <x v="30"/>
    <n v="22"/>
    <n v="11.5"/>
  </r>
  <r>
    <n v="3"/>
    <x v="2"/>
    <d v="2025-08-03T00:00:00"/>
    <n v="9"/>
    <n v="5.92"/>
    <n v="13.92"/>
    <x v="12"/>
    <s v="MESSI"/>
    <n v="24"/>
    <x v="7"/>
    <m/>
    <n v="-13.92"/>
  </r>
  <r>
    <n v="3"/>
    <x v="2"/>
    <d v="2025-08-12T00:00:00"/>
    <n v="12"/>
    <n v="5.92"/>
    <n v="13.92"/>
    <x v="1"/>
    <s v="VINI JR"/>
    <s v="L"/>
    <x v="31"/>
    <n v="34.840000000000003"/>
    <n v="20.92"/>
  </r>
  <r>
    <n v="3"/>
    <x v="2"/>
    <d v="2025-08-12T00:00:00"/>
    <n v="10"/>
    <n v="5.92"/>
    <n v="13.92"/>
    <x v="1"/>
    <s v="MBAPPƒ"/>
    <s v="XL"/>
    <x v="32"/>
    <n v="19.54"/>
    <n v="5.6199999999999992"/>
  </r>
  <r>
    <n v="3"/>
    <x v="2"/>
    <d v="2025-08-12T00:00:00"/>
    <n v="12"/>
    <n v="5.92"/>
    <n v="16.57"/>
    <x v="14"/>
    <s v="MBAPPƒ"/>
    <s v="L"/>
    <x v="32"/>
    <n v="19.54"/>
    <n v="2.9699999999999989"/>
  </r>
  <r>
    <n v="3"/>
    <x v="2"/>
    <d v="2025-08-12T00:00:00"/>
    <n v="12"/>
    <n v="5.92"/>
    <n v="13.92"/>
    <x v="1"/>
    <s v="MBAPPƒ"/>
    <s v="XL"/>
    <x v="32"/>
    <n v="19.54"/>
    <n v="5.6199999999999992"/>
  </r>
  <r>
    <n v="3"/>
    <x v="2"/>
    <d v="2025-08-12T00:00:00"/>
    <n v="8"/>
    <n v="5.92"/>
    <n v="16.920000000000002"/>
    <x v="15"/>
    <m/>
    <s v="XL"/>
    <x v="33"/>
    <n v="24.14"/>
    <n v="7.2199999999999989"/>
  </r>
  <r>
    <n v="3"/>
    <x v="2"/>
    <d v="2025-08-12T00:00:00"/>
    <n v="10.5"/>
    <n v="5.92"/>
    <n v="14.92"/>
    <x v="16"/>
    <s v="HENRY"/>
    <s v="L"/>
    <x v="34"/>
    <n v="29.8"/>
    <n v="14.88"/>
  </r>
  <r>
    <n v="3"/>
    <x v="2"/>
    <d v="2025-08-12T00:00:00"/>
    <n v="10.5"/>
    <n v="5.92"/>
    <n v="16.920000000000002"/>
    <x v="17"/>
    <s v="MESSI"/>
    <s v="M"/>
    <x v="34"/>
    <n v="37.67"/>
    <n v="20.75"/>
  </r>
  <r>
    <n v="3"/>
    <x v="2"/>
    <d v="2025-08-12T00:00:00"/>
    <n v="10.5"/>
    <n v="5.92"/>
    <n v="14.92"/>
    <x v="16"/>
    <s v="HENRY"/>
    <s v="L"/>
    <x v="34"/>
    <n v="34.979999999999997"/>
    <n v="20.059999999999995"/>
  </r>
  <r>
    <n v="3"/>
    <x v="2"/>
    <d v="2025-08-03T00:00:00"/>
    <n v="10.5"/>
    <m/>
    <n v="17.920000000000002"/>
    <x v="18"/>
    <s v="Cole Palmer"/>
    <s v="L"/>
    <x v="35"/>
    <n v="29.62"/>
    <n v="11.7"/>
  </r>
  <r>
    <n v="3"/>
    <x v="2"/>
    <d v="2025-08-12T00:00:00"/>
    <n v="9"/>
    <n v="5.92"/>
    <n v="16.420000000000002"/>
    <x v="0"/>
    <s v="Lewandowski"/>
    <s v="XL"/>
    <x v="36"/>
    <n v="22.71"/>
    <n v="6.2899999999999991"/>
  </r>
  <r>
    <n v="4"/>
    <x v="3"/>
    <d v="2025-08-24T00:00:00"/>
    <n v="10.5"/>
    <n v="5.33"/>
    <n v="0"/>
    <x v="0"/>
    <m/>
    <s v="L"/>
    <x v="37"/>
    <n v="32.29"/>
    <n v="32.29"/>
  </r>
  <r>
    <n v="4"/>
    <x v="3"/>
    <m/>
    <m/>
    <m/>
    <n v="15.83"/>
    <x v="19"/>
    <s v="LAMINE YAMAL"/>
    <s v="S"/>
    <x v="25"/>
    <n v="37.909999999999997"/>
    <n v="22.08"/>
  </r>
  <r>
    <n v="4"/>
    <x v="3"/>
    <d v="2025-08-24T00:00:00"/>
    <n v="10.5"/>
    <n v="5.33"/>
    <n v="15.83"/>
    <x v="20"/>
    <m/>
    <s v="M"/>
    <x v="28"/>
    <n v="32.200000000000003"/>
    <n v="16.370000000000005"/>
  </r>
  <r>
    <n v="4"/>
    <x v="3"/>
    <d v="2025-08-24T00:00:00"/>
    <n v="10.5"/>
    <m/>
    <n v="10.5"/>
    <x v="0"/>
    <s v="PEDRI"/>
    <s v="S"/>
    <x v="38"/>
    <n v="34.07"/>
    <n v="23.57"/>
  </r>
  <r>
    <n v="4"/>
    <x v="3"/>
    <d v="2025-08-24T00:00:00"/>
    <n v="10.5"/>
    <n v="5.33"/>
    <n v="15.83"/>
    <x v="0"/>
    <s v="PEDRI"/>
    <s v="L"/>
    <x v="39"/>
    <n v="32.29"/>
    <n v="16.46"/>
  </r>
  <r>
    <n v="4"/>
    <x v="3"/>
    <d v="2025-08-24T00:00:00"/>
    <n v="10.5"/>
    <n v="5"/>
    <n v="15.5"/>
    <x v="21"/>
    <s v="MBAPPE"/>
    <s v="L"/>
    <x v="39"/>
    <n v="32.29"/>
    <n v="16.79"/>
  </r>
  <r>
    <n v="5"/>
    <x v="4"/>
    <d v="2025-09-14T00:00:00"/>
    <n v="10.5"/>
    <n v="4.1100000000000003"/>
    <n v="15.11"/>
    <x v="5"/>
    <m/>
    <s v="L"/>
    <x v="40"/>
    <n v="27.3"/>
    <n v="12.190000000000001"/>
  </r>
  <r>
    <n v="5"/>
    <x v="4"/>
    <d v="2025-09-08T00:00:00"/>
    <n v="11"/>
    <n v="4.1100000000000003"/>
    <n v="14.61"/>
    <x v="14"/>
    <s v="MBAPPE"/>
    <s v="L"/>
    <x v="41"/>
    <n v="35.22"/>
    <n v="20.61"/>
  </r>
  <r>
    <n v="5"/>
    <x v="4"/>
    <d v="2025-09-08T00:00:00"/>
    <n v="11"/>
    <n v="4.1100000000000003"/>
    <n v="14.61"/>
    <x v="14"/>
    <s v="MBAPPE"/>
    <s v="L"/>
    <x v="41"/>
    <n v="35.22"/>
    <n v="20.61"/>
  </r>
  <r>
    <n v="5"/>
    <x v="4"/>
    <d v="2025-09-08T00:00:00"/>
    <n v="11"/>
    <n v="4.1100000000000003"/>
    <n v="14.61"/>
    <x v="14"/>
    <s v="MBAPPE"/>
    <s v="M"/>
    <x v="17"/>
    <n v="32.270000000000003"/>
    <n v="17.660000000000004"/>
  </r>
  <r>
    <n v="5"/>
    <x v="4"/>
    <d v="2025-09-14T00:00:00"/>
    <n v="10.5"/>
    <n v="4.1100000000000003"/>
    <n v="14.61"/>
    <x v="2"/>
    <s v="CANALES"/>
    <s v="L"/>
    <x v="42"/>
    <n v="34"/>
    <n v="19.39"/>
  </r>
  <r>
    <n v="5"/>
    <x v="4"/>
    <d v="2025-09-14T00:00:00"/>
    <n v="10.5"/>
    <n v="4.1100000000000003"/>
    <n v="16"/>
    <x v="5"/>
    <m/>
    <s v="XL"/>
    <x v="42"/>
    <n v="27.22"/>
    <n v="11.219999999999999"/>
  </r>
  <r>
    <n v="5"/>
    <x v="4"/>
    <d v="2025-09-08T00:00:00"/>
    <n v="11"/>
    <n v="5"/>
    <n v="14.61"/>
    <x v="0"/>
    <s v="LAMINE YAMAL"/>
    <s v="3xl"/>
    <x v="43"/>
    <n v="32.200000000000003"/>
    <n v="17.590000000000003"/>
  </r>
  <r>
    <n v="5"/>
    <x v="4"/>
    <d v="2025-09-14T00:00:00"/>
    <n v="10.5"/>
    <n v="4.1100000000000003"/>
    <n v="16.829999999999998"/>
    <x v="22"/>
    <m/>
    <s v="L"/>
    <x v="44"/>
    <n v="32.69"/>
    <n v="15.86"/>
  </r>
  <r>
    <n v="5"/>
    <x v="4"/>
    <d v="2025-09-08T00:00:00"/>
    <n v="10.5"/>
    <n v="4.1100000000000003"/>
    <n v="19.11"/>
    <x v="19"/>
    <m/>
    <s v="M"/>
    <x v="40"/>
    <n v="32.76"/>
    <n v="13.649999999999999"/>
  </r>
  <r>
    <n v="5"/>
    <x v="4"/>
    <d v="2025-09-14T00:00:00"/>
    <n v="10.5"/>
    <n v="4.1100000000000003"/>
    <n v="15.11"/>
    <x v="22"/>
    <m/>
    <s v="L"/>
    <x v="45"/>
    <n v="29.62"/>
    <n v="14.510000000000002"/>
  </r>
  <r>
    <n v="5"/>
    <x v="4"/>
    <d v="2025-09-14T00:00:00"/>
    <n v="10.5"/>
    <n v="4.1100000000000003"/>
    <n v="14.61"/>
    <x v="20"/>
    <m/>
    <s v="L"/>
    <x v="46"/>
    <n v="32.51"/>
    <n v="17.899999999999999"/>
  </r>
  <r>
    <n v="5"/>
    <x v="4"/>
    <d v="2025-09-14T00:00:00"/>
    <n v="10.5"/>
    <n v="4.1100000000000003"/>
    <n v="15.11"/>
    <x v="22"/>
    <m/>
    <s v="XL"/>
    <x v="47"/>
    <n v="27.22"/>
    <n v="12.11"/>
  </r>
  <r>
    <n v="5"/>
    <x v="4"/>
    <d v="2025-09-14T00:00:00"/>
    <n v="15"/>
    <n v="4.1100000000000003"/>
    <n v="15.11"/>
    <x v="23"/>
    <m/>
    <s v="3xl"/>
    <x v="18"/>
    <n v="31.97"/>
    <n v="16.86"/>
  </r>
  <r>
    <n v="5"/>
    <x v="4"/>
    <d v="2025-09-08T00:00:00"/>
    <n v="10.5"/>
    <n v="4.1100000000000003"/>
    <n v="15.11"/>
    <x v="19"/>
    <m/>
    <s v="XL"/>
    <x v="48"/>
    <n v="29.9"/>
    <n v="14.79"/>
  </r>
  <r>
    <n v="5"/>
    <x v="4"/>
    <d v="2025-09-14T00:00:00"/>
    <n v="10.5"/>
    <n v="4.1100000000000003"/>
    <n v="14.61"/>
    <x v="22"/>
    <m/>
    <s v="2XL"/>
    <x v="49"/>
    <n v="27.22"/>
    <n v="12.61"/>
  </r>
  <r>
    <n v="5"/>
    <x v="4"/>
    <d v="2025-09-08T00:00:00"/>
    <n v="11"/>
    <n v="4.1100000000000003"/>
    <n v="14.61"/>
    <x v="19"/>
    <s v="LAMINE YAMAL"/>
    <s v="L"/>
    <x v="21"/>
    <n v="37.96"/>
    <n v="23.35"/>
  </r>
  <r>
    <n v="5"/>
    <x v="4"/>
    <d v="2025-09-08T00:00:00"/>
    <n v="11"/>
    <n v="4.1100000000000003"/>
    <n v="14.61"/>
    <x v="19"/>
    <s v="LAMINE YAMAL"/>
    <s v="L"/>
    <x v="50"/>
    <n v="37.96"/>
    <n v="23.35"/>
  </r>
  <r>
    <n v="5"/>
    <x v="4"/>
    <d v="2025-09-08T00:00:00"/>
    <n v="11.5"/>
    <n v="5.33"/>
    <n v="14.61"/>
    <x v="24"/>
    <m/>
    <s v="XL"/>
    <x v="43"/>
    <n v="26.82"/>
    <n v="12.21"/>
  </r>
  <r>
    <n v="5"/>
    <x v="4"/>
    <d v="2025-09-08T00:00:00"/>
    <n v="10.5"/>
    <n v="4.1100000000000003"/>
    <n v="14.61"/>
    <x v="25"/>
    <s v="Ronaldo"/>
    <s v="L"/>
    <x v="43"/>
    <n v="26.82"/>
    <n v="12.21"/>
  </r>
  <r>
    <n v="6"/>
    <x v="5"/>
    <d v="2025-09-08T00:00:00"/>
    <n v="10.5"/>
    <n v="6.25"/>
    <n v="16.75"/>
    <x v="1"/>
    <s v="MBAPPE"/>
    <s v="L"/>
    <x v="44"/>
    <n v="32.89"/>
    <n v="16.14"/>
  </r>
  <r>
    <n v="6"/>
    <x v="5"/>
    <d v="2025-09-08T00:00:00"/>
    <n v="10.5"/>
    <n v="6.25"/>
    <n v="16.75"/>
    <x v="1"/>
    <s v="MBAPPE"/>
    <s v="XL"/>
    <x v="41"/>
    <n v="35.42"/>
    <n v="18.670000000000002"/>
  </r>
  <r>
    <n v="6"/>
    <x v="5"/>
    <d v="2025-09-08T00:00:00"/>
    <n v="10.5"/>
    <n v="6.25"/>
    <n v="16.75"/>
    <x v="1"/>
    <s v="MBAPPE"/>
    <s v="XL"/>
    <x v="51"/>
    <n v="35.42"/>
    <n v="18.670000000000002"/>
  </r>
  <r>
    <n v="6"/>
    <x v="5"/>
    <d v="2025-09-08T00:00:00"/>
    <n v="10.5"/>
    <n v="6.25"/>
    <n v="16.75"/>
    <x v="1"/>
    <s v="MBAPPE"/>
    <s v="L"/>
    <x v="7"/>
    <m/>
    <n v="-16.75"/>
  </r>
  <r>
    <n v="7"/>
    <x v="6"/>
    <m/>
    <n v="11.5"/>
    <n v="5.33"/>
    <n v="15.33"/>
    <x v="14"/>
    <s v="MBAPPE"/>
    <s v="XL"/>
    <x v="52"/>
    <n v="34.979999999999997"/>
    <n v="19.649999999999999"/>
  </r>
  <r>
    <n v="7"/>
    <x v="6"/>
    <m/>
    <n v="11.5"/>
    <n v="5.33"/>
    <n v="15.33"/>
    <x v="14"/>
    <s v="MBAPPE"/>
    <s v="XL"/>
    <x v="41"/>
    <n v="35.22"/>
    <n v="19.89"/>
  </r>
  <r>
    <n v="7"/>
    <x v="6"/>
    <m/>
    <n v="11.5"/>
    <n v="5.33"/>
    <n v="16.829999999999998"/>
    <x v="14"/>
    <s v="MBAPPE"/>
    <s v="M"/>
    <x v="17"/>
    <n v="32.5"/>
    <n v="15.670000000000002"/>
  </r>
  <r>
    <n v="7"/>
    <x v="6"/>
    <m/>
    <n v="8.5"/>
    <n v="5.33"/>
    <n v="16.829999999999998"/>
    <x v="6"/>
    <m/>
    <s v="M"/>
    <x v="19"/>
    <n v="26.75"/>
    <n v="9.9200000000000017"/>
  </r>
  <r>
    <n v="7"/>
    <x v="6"/>
    <m/>
    <n v="10"/>
    <n v="5.33"/>
    <n v="16.829999999999998"/>
    <x v="6"/>
    <m/>
    <s v="l "/>
    <x v="19"/>
    <n v="26.75"/>
    <n v="9.9200000000000017"/>
  </r>
  <r>
    <n v="7"/>
    <x v="6"/>
    <m/>
    <n v="10"/>
    <n v="5.33"/>
    <n v="13.83"/>
    <x v="6"/>
    <m/>
    <s v="2XL"/>
    <x v="19"/>
    <n v="26.75"/>
    <n v="12.92"/>
  </r>
  <r>
    <n v="7"/>
    <x v="6"/>
    <m/>
    <m/>
    <m/>
    <n v="0"/>
    <x v="3"/>
    <m/>
    <s v="L"/>
    <x v="53"/>
    <n v="26.97"/>
    <n v="26.97"/>
  </r>
  <r>
    <n v="7"/>
    <x v="6"/>
    <m/>
    <n v="10.5"/>
    <n v="5.33"/>
    <n v="15.33"/>
    <x v="2"/>
    <s v="Sergio Ramos"/>
    <s v="M"/>
    <x v="54"/>
    <n v="33"/>
    <n v="17.670000000000002"/>
  </r>
  <r>
    <n v="7"/>
    <x v="6"/>
    <m/>
    <n v="10"/>
    <n v="5.33"/>
    <n v="15.83"/>
    <x v="20"/>
    <m/>
    <s v="L"/>
    <x v="41"/>
    <n v="32.51"/>
    <n v="16.68"/>
  </r>
  <r>
    <n v="7"/>
    <x v="6"/>
    <m/>
    <n v="13"/>
    <n v="5.33"/>
    <n v="15.33"/>
    <x v="8"/>
    <m/>
    <m/>
    <x v="55"/>
    <n v="33"/>
    <n v="17.670000000000002"/>
  </r>
  <r>
    <n v="7"/>
    <x v="6"/>
    <m/>
    <n v="10"/>
    <n v="5.33"/>
    <n v="15.33"/>
    <x v="20"/>
    <m/>
    <s v="S"/>
    <x v="56"/>
    <n v="34.840000000000003"/>
    <n v="19.510000000000005"/>
  </r>
  <r>
    <n v="7"/>
    <x v="6"/>
    <m/>
    <n v="10"/>
    <n v="5.33"/>
    <n v="15.83"/>
    <x v="26"/>
    <s v="Berte"/>
    <s v="M"/>
    <x v="54"/>
    <n v="33"/>
    <n v="17.170000000000002"/>
  </r>
  <r>
    <n v="7"/>
    <x v="6"/>
    <m/>
    <n v="10.5"/>
    <n v="5.33"/>
    <n v="18.329999999999998"/>
    <x v="27"/>
    <m/>
    <s v="M"/>
    <x v="54"/>
    <n v="33"/>
    <n v="14.670000000000002"/>
  </r>
  <r>
    <n v="8"/>
    <x v="7"/>
    <m/>
    <n v="8.8000000000000007"/>
    <n v="4.1100000000000003"/>
    <n v="12.91"/>
    <x v="28"/>
    <m/>
    <s v="M"/>
    <x v="13"/>
    <n v="27"/>
    <n v="14.09"/>
  </r>
  <r>
    <n v="8"/>
    <x v="7"/>
    <m/>
    <n v="8.8000000000000007"/>
    <n v="4.1100000000000003"/>
    <n v="12.91"/>
    <x v="28"/>
    <m/>
    <s v="L"/>
    <x v="44"/>
    <n v="27.33"/>
    <n v="14.419999999999998"/>
  </r>
  <r>
    <n v="8"/>
    <x v="7"/>
    <m/>
    <n v="8.8000000000000007"/>
    <n v="4.1100000000000003"/>
    <n v="12.91"/>
    <x v="29"/>
    <m/>
    <s v="XL"/>
    <x v="57"/>
    <n v="29.61"/>
    <n v="16.7"/>
  </r>
  <r>
    <n v="8"/>
    <x v="7"/>
    <m/>
    <n v="8.8000000000000007"/>
    <n v="4.1100000000000003"/>
    <n v="22.33"/>
    <x v="30"/>
    <m/>
    <s v="M"/>
    <x v="8"/>
    <n v="35.49"/>
    <n v="13.160000000000004"/>
  </r>
  <r>
    <n v="8"/>
    <x v="7"/>
    <m/>
    <n v="8.8000000000000007"/>
    <n v="4.1100000000000003"/>
    <n v="12.91"/>
    <x v="31"/>
    <m/>
    <s v="L"/>
    <x v="58"/>
    <n v="34.979999999999997"/>
    <n v="22.069999999999997"/>
  </r>
  <r>
    <n v="8"/>
    <x v="7"/>
    <m/>
    <n v="8.8000000000000007"/>
    <n v="4.1100000000000003"/>
    <n v="12.91"/>
    <x v="32"/>
    <m/>
    <s v="XL"/>
    <x v="45"/>
    <n v="27.17"/>
    <n v="14.260000000000002"/>
  </r>
  <r>
    <n v="8"/>
    <x v="7"/>
    <m/>
    <n v="8.8000000000000007"/>
    <n v="4.1100000000000003"/>
    <n v="12.91"/>
    <x v="33"/>
    <m/>
    <s v="L"/>
    <x v="59"/>
    <n v="40.36"/>
    <n v="27.45"/>
  </r>
  <r>
    <n v="8"/>
    <x v="7"/>
    <m/>
    <n v="8.8000000000000007"/>
    <n v="4.1100000000000003"/>
    <n v="12.91"/>
    <x v="29"/>
    <m/>
    <s v="L"/>
    <x v="46"/>
    <n v="29.88"/>
    <n v="16.97"/>
  </r>
  <r>
    <n v="8"/>
    <x v="7"/>
    <m/>
    <n v="8.8000000000000007"/>
    <n v="4.1100000000000003"/>
    <n v="12.91"/>
    <x v="34"/>
    <m/>
    <s v="M"/>
    <x v="60"/>
    <n v="37"/>
    <n v="24.09"/>
  </r>
  <r>
    <n v="8"/>
    <x v="7"/>
    <m/>
    <n v="8.8000000000000007"/>
    <n v="4.1100000000000003"/>
    <n v="12.91"/>
    <x v="35"/>
    <m/>
    <s v="M"/>
    <x v="60"/>
    <n v="37"/>
    <n v="24.09"/>
  </r>
  <r>
    <n v="8"/>
    <x v="7"/>
    <m/>
    <n v="22.33"/>
    <n v="0"/>
    <n v="12.91"/>
    <x v="36"/>
    <m/>
    <s v="M"/>
    <x v="17"/>
    <n v="29.88"/>
    <n v="16.97"/>
  </r>
  <r>
    <n v="8"/>
    <x v="7"/>
    <m/>
    <n v="8.8000000000000007"/>
    <n v="4.1100000000000003"/>
    <n v="12.91"/>
    <x v="37"/>
    <m/>
    <s v="L"/>
    <x v="61"/>
    <n v="28.39"/>
    <n v="15.48"/>
  </r>
  <r>
    <n v="8"/>
    <x v="7"/>
    <m/>
    <n v="8.8000000000000007"/>
    <n v="4.1100000000000003"/>
    <n v="12.91"/>
    <x v="29"/>
    <m/>
    <s v="L"/>
    <x v="7"/>
    <m/>
    <n v="-12.91"/>
  </r>
  <r>
    <n v="8"/>
    <x v="7"/>
    <m/>
    <n v="8.8000000000000007"/>
    <n v="4.1100000000000003"/>
    <n v="12.91"/>
    <x v="29"/>
    <m/>
    <s v="M"/>
    <x v="7"/>
    <m/>
    <n v="-12.91"/>
  </r>
  <r>
    <n v="8"/>
    <x v="7"/>
    <m/>
    <n v="8.8000000000000007"/>
    <n v="4.1100000000000003"/>
    <n v="12.91"/>
    <x v="30"/>
    <m/>
    <s v="L"/>
    <x v="62"/>
    <n v="22.9"/>
    <n v="9.9899999999999984"/>
  </r>
  <r>
    <n v="8"/>
    <x v="7"/>
    <m/>
    <n v="8.8000000000000007"/>
    <n v="4.1100000000000003"/>
    <n v="12.91"/>
    <x v="30"/>
    <m/>
    <s v="XL"/>
    <x v="63"/>
    <n v="30.28"/>
    <n v="17.37"/>
  </r>
  <r>
    <n v="8"/>
    <x v="7"/>
    <m/>
    <n v="8.8000000000000007"/>
    <n v="4.1100000000000003"/>
    <n v="12.91"/>
    <x v="38"/>
    <m/>
    <s v="L"/>
    <x v="64"/>
    <n v="34.11"/>
    <n v="21.2"/>
  </r>
  <r>
    <n v="8"/>
    <x v="7"/>
    <m/>
    <n v="8.8000000000000007"/>
    <n v="4.1100000000000003"/>
    <n v="12.91"/>
    <x v="38"/>
    <m/>
    <s v="XL"/>
    <x v="63"/>
    <n v="30.28"/>
    <n v="17.37"/>
  </r>
  <r>
    <n v="9"/>
    <x v="8"/>
    <d v="2025-10-12T00:00:00"/>
    <n v="12.5"/>
    <n v="4.37"/>
    <n v="16.25"/>
    <x v="14"/>
    <m/>
    <s v="L"/>
    <x v="45"/>
    <n v="32.17"/>
    <n v="15.920000000000002"/>
  </r>
  <r>
    <n v="9"/>
    <x v="8"/>
    <d v="2025-10-12T00:00:00"/>
    <n v="12.5"/>
    <n v="4.37"/>
    <n v="16.25"/>
    <x v="14"/>
    <m/>
    <s v="M"/>
    <x v="45"/>
    <n v="32.17"/>
    <n v="15.920000000000002"/>
  </r>
  <r>
    <n v="9"/>
    <x v="8"/>
    <d v="2025-10-12T00:00:00"/>
    <n v="10.5"/>
    <n v="4.37"/>
    <n v="14.870000000000001"/>
    <x v="5"/>
    <m/>
    <s v="2XL"/>
    <x v="65"/>
    <n v="26.89"/>
    <n v="12.02"/>
  </r>
  <r>
    <n v="9"/>
    <x v="8"/>
    <d v="2025-10-12T00:00:00"/>
    <n v="11.88"/>
    <n v="4.37"/>
    <n v="16.87"/>
    <x v="39"/>
    <s v="Rodgers"/>
    <s v="L"/>
    <x v="60"/>
    <n v="37.64"/>
    <n v="20.77"/>
  </r>
  <r>
    <n v="9"/>
    <x v="8"/>
    <d v="2025-10-12T00:00:00"/>
    <n v="11.88"/>
    <n v="4.37"/>
    <n v="16.87"/>
    <x v="40"/>
    <s v="Purdy"/>
    <s v="L"/>
    <x v="60"/>
    <n v="37.64"/>
    <n v="20.77"/>
  </r>
  <r>
    <n v="9"/>
    <x v="8"/>
    <d v="2025-10-12T00:00:00"/>
    <n v="11.88"/>
    <n v="4.37"/>
    <n v="14.870000000000001"/>
    <x v="41"/>
    <s v="Rodgers"/>
    <s v="L"/>
    <x v="60"/>
    <n v="37.64"/>
    <n v="22.77"/>
  </r>
  <r>
    <n v="9"/>
    <x v="8"/>
    <d v="2025-10-12T00:00:00"/>
    <n v="10.5"/>
    <n v="4.37"/>
    <n v="16.25"/>
    <x v="42"/>
    <m/>
    <s v="L"/>
    <x v="60"/>
    <n v="26.89"/>
    <n v="10.64"/>
  </r>
  <r>
    <n v="10"/>
    <x v="9"/>
    <m/>
    <n v="13"/>
    <n v="8.33"/>
    <n v="21.33"/>
    <x v="43"/>
    <m/>
    <s v="2XL"/>
    <x v="66"/>
    <n v="35.22"/>
    <n v="13.89"/>
  </r>
  <r>
    <n v="10"/>
    <x v="9"/>
    <m/>
    <n v="13"/>
    <n v="8.33"/>
    <n v="21.33"/>
    <x v="44"/>
    <s v="PEDRI"/>
    <s v="XL"/>
    <x v="8"/>
    <n v="35.22"/>
    <n v="13.89"/>
  </r>
  <r>
    <n v="10"/>
    <x v="9"/>
    <m/>
    <n v="10.5"/>
    <n v="8.33"/>
    <n v="18.829999999999998"/>
    <x v="45"/>
    <m/>
    <s v="XL"/>
    <x v="67"/>
    <n v="35.22"/>
    <n v="16.39"/>
  </r>
  <r>
    <n v="10"/>
    <x v="9"/>
    <m/>
    <n v="10.5"/>
    <n v="8.33"/>
    <n v="20.329999999999998"/>
    <x v="45"/>
    <m/>
    <s v="M"/>
    <x v="67"/>
    <n v="35.22"/>
    <n v="14.89"/>
  </r>
  <r>
    <n v="10"/>
    <x v="9"/>
    <m/>
    <n v="12"/>
    <n v="8.33"/>
    <n v="18.829999999999998"/>
    <x v="46"/>
    <m/>
    <s v="S"/>
    <x v="7"/>
    <n v="8.1999999999999993"/>
    <n v="-10.629999999999999"/>
  </r>
  <r>
    <n v="11"/>
    <x v="10"/>
    <m/>
    <n v="10.5"/>
    <n v="5.5"/>
    <n v="16"/>
    <x v="47"/>
    <m/>
    <s v="L"/>
    <x v="14"/>
    <n v="37.93"/>
    <n v="21.93"/>
  </r>
  <r>
    <n v="11"/>
    <x v="10"/>
    <m/>
    <n v="10.5"/>
    <n v="5.5"/>
    <n v="16"/>
    <x v="48"/>
    <m/>
    <s v="XL"/>
    <x v="14"/>
    <n v="37.93"/>
    <n v="21.93"/>
  </r>
  <r>
    <n v="11"/>
    <x v="10"/>
    <m/>
    <n v="10.5"/>
    <n v="5.5"/>
    <n v="16"/>
    <x v="49"/>
    <m/>
    <s v="L"/>
    <x v="14"/>
    <n v="37.93"/>
    <n v="21.93"/>
  </r>
  <r>
    <n v="11"/>
    <x v="10"/>
    <m/>
    <n v="13"/>
    <n v="5.5"/>
    <n v="18.5"/>
    <x v="50"/>
    <m/>
    <s v="M"/>
    <x v="14"/>
    <n v="37.93"/>
    <n v="19.43"/>
  </r>
  <r>
    <n v="11"/>
    <x v="10"/>
    <m/>
    <n v="12"/>
    <n v="5.5"/>
    <n v="17.5"/>
    <x v="51"/>
    <m/>
    <s v="L"/>
    <x v="14"/>
    <n v="35.22"/>
    <n v="17.72"/>
  </r>
  <r>
    <n v="11"/>
    <x v="10"/>
    <m/>
    <n v="12"/>
    <n v="5.5"/>
    <n v="17.5"/>
    <x v="52"/>
    <m/>
    <s v="L"/>
    <x v="68"/>
    <n v="32.69"/>
    <n v="15.189999999999998"/>
  </r>
  <r>
    <n v="11"/>
    <x v="10"/>
    <m/>
    <n v="12"/>
    <n v="5.5"/>
    <n v="17.5"/>
    <x v="52"/>
    <m/>
    <s v="L"/>
    <x v="68"/>
    <n v="32.69"/>
    <n v="15.189999999999998"/>
  </r>
  <r>
    <n v="11"/>
    <x v="10"/>
    <m/>
    <n v="12"/>
    <n v="5.5"/>
    <n v="17.5"/>
    <x v="52"/>
    <m/>
    <s v="XL"/>
    <x v="69"/>
    <n v="32.69"/>
    <n v="32.69"/>
  </r>
  <r>
    <n v="11"/>
    <x v="10"/>
    <m/>
    <n v="12"/>
    <n v="5.5"/>
    <n v="17.5"/>
    <x v="52"/>
    <m/>
    <s v="XL"/>
    <x v="69"/>
    <n v="32.69"/>
    <n v="15.189999999999998"/>
  </r>
  <r>
    <n v="12"/>
    <x v="11"/>
    <m/>
    <n v="17.760000000000002"/>
    <n v="0"/>
    <n v="17.760000000000002"/>
    <x v="53"/>
    <m/>
    <s v="XL"/>
    <x v="13"/>
    <n v="32.69"/>
    <n v="14.929999999999996"/>
  </r>
  <r>
    <n v="13"/>
    <x v="12"/>
    <m/>
    <n v="8"/>
    <n v="5.4615384615384617"/>
    <n v="13.461538461538462"/>
    <x v="54"/>
    <m/>
    <s v="L"/>
    <x v="70"/>
    <n v="38.92"/>
    <n v="25.458461538461542"/>
  </r>
  <r>
    <n v="13"/>
    <x v="12"/>
    <m/>
    <n v="14"/>
    <n v="5.4615384615384617"/>
    <n v="19.46153846153846"/>
    <x v="23"/>
    <m/>
    <s v="S"/>
    <x v="70"/>
    <n v="38.92"/>
    <n v="19.458461538461542"/>
  </r>
  <r>
    <n v="13"/>
    <x v="12"/>
    <m/>
    <n v="8"/>
    <n v="5.4615384615384617"/>
    <n v="13.461538461538462"/>
    <x v="50"/>
    <m/>
    <s v="M"/>
    <x v="70"/>
    <n v="36.130000000000003"/>
    <n v="22.668461538461543"/>
  </r>
  <r>
    <n v="13"/>
    <x v="12"/>
    <m/>
    <n v="8"/>
    <n v="5.4615384615384617"/>
    <n v="13.461538461538462"/>
    <x v="50"/>
    <m/>
    <s v="L"/>
    <x v="71"/>
    <n v="26.13"/>
    <n v="12.668461538461537"/>
  </r>
  <r>
    <n v="13"/>
    <x v="12"/>
    <m/>
    <n v="8"/>
    <n v="5.4615384615384617"/>
    <n v="13.461538461538462"/>
    <x v="50"/>
    <m/>
    <s v="XL"/>
    <x v="71"/>
    <n v="26.13"/>
    <n v="12.668461538461537"/>
  </r>
  <r>
    <n v="13"/>
    <x v="12"/>
    <m/>
    <n v="6"/>
    <n v="5.4615384615384617"/>
    <n v="11.461538461538462"/>
    <x v="55"/>
    <m/>
    <s v="L"/>
    <x v="70"/>
    <n v="33.35"/>
    <n v="21.888461538461542"/>
  </r>
  <r>
    <n v="13"/>
    <x v="12"/>
    <m/>
    <n v="10"/>
    <n v="5.4615384615384617"/>
    <n v="15.461538461538462"/>
    <x v="0"/>
    <m/>
    <s v="M"/>
    <x v="70"/>
    <n v="36.130000000000003"/>
    <n v="20.668461538461543"/>
  </r>
  <r>
    <n v="13"/>
    <x v="12"/>
    <m/>
    <n v="14"/>
    <n v="5.4615384615384617"/>
    <n v="19.46153846153846"/>
    <x v="49"/>
    <m/>
    <s v="L"/>
    <x v="70"/>
    <n v="38.92"/>
    <n v="19.458461538461542"/>
  </r>
  <r>
    <n v="13"/>
    <x v="12"/>
    <m/>
    <n v="12"/>
    <n v="5.4615384615384617"/>
    <n v="17.46153846153846"/>
    <x v="56"/>
    <m/>
    <s v="S"/>
    <x v="70"/>
    <n v="38.92"/>
    <n v="21.458461538461542"/>
  </r>
  <r>
    <n v="13"/>
    <x v="12"/>
    <m/>
    <n v="8"/>
    <n v="5.4615384615384617"/>
    <n v="13.461538461538462"/>
    <x v="6"/>
    <m/>
    <s v="M"/>
    <x v="7"/>
    <m/>
    <n v="-13.461538461538462"/>
  </r>
  <r>
    <n v="13"/>
    <x v="12"/>
    <m/>
    <n v="8"/>
    <n v="5.4615384615384617"/>
    <n v="13.461538461538462"/>
    <x v="6"/>
    <m/>
    <s v="L"/>
    <x v="72"/>
    <n v="34.07"/>
    <n v="20.60846153846154"/>
  </r>
  <r>
    <n v="13"/>
    <x v="12"/>
    <m/>
    <n v="8"/>
    <n v="5.4615384615384617"/>
    <n v="13.461538461538462"/>
    <x v="6"/>
    <m/>
    <s v="L"/>
    <x v="72"/>
    <n v="34.07"/>
    <n v="20.60846153846154"/>
  </r>
  <r>
    <n v="13"/>
    <x v="12"/>
    <m/>
    <n v="8"/>
    <n v="5.4615384615384617"/>
    <n v="13.461538461538462"/>
    <x v="6"/>
    <m/>
    <s v="XL"/>
    <x v="7"/>
    <m/>
    <n v="-13.461538461538462"/>
  </r>
  <r>
    <n v="14"/>
    <x v="13"/>
    <m/>
    <n v="8"/>
    <n v="6.1178571428571429"/>
    <n v="14.117857142857144"/>
    <x v="15"/>
    <m/>
    <s v="M"/>
    <x v="73"/>
    <n v="31.82"/>
    <n v="17.702142857142857"/>
  </r>
  <r>
    <n v="14"/>
    <x v="13"/>
    <m/>
    <n v="8"/>
    <n v="6.1178571428571429"/>
    <n v="14.117857142857144"/>
    <x v="15"/>
    <m/>
    <s v="L"/>
    <x v="74"/>
    <n v="29.04"/>
    <n v="14.922142857142855"/>
  </r>
  <r>
    <n v="14"/>
    <x v="13"/>
    <m/>
    <n v="8"/>
    <n v="6.1178571428571429"/>
    <n v="14.117857142857144"/>
    <x v="15"/>
    <m/>
    <s v="L"/>
    <x v="62"/>
    <n v="28.63"/>
    <n v="14.512142857142855"/>
  </r>
  <r>
    <n v="14"/>
    <x v="13"/>
    <m/>
    <n v="8"/>
    <n v="6.1178571428571429"/>
    <n v="14.117857142857144"/>
    <x v="15"/>
    <m/>
    <s v="XL"/>
    <x v="7"/>
    <m/>
    <n v="-14.117857142857144"/>
  </r>
  <r>
    <n v="14"/>
    <x v="13"/>
    <m/>
    <n v="8"/>
    <n v="6.1178571428571429"/>
    <n v="14.117857142857144"/>
    <x v="15"/>
    <m/>
    <s v="XL"/>
    <x v="75"/>
    <n v="32.1"/>
    <n v="17.982142857142858"/>
  </r>
  <r>
    <n v="14"/>
    <x v="13"/>
    <m/>
    <n v="8"/>
    <n v="6.1178571428571429"/>
    <n v="14.117857142857144"/>
    <x v="15"/>
    <m/>
    <s v="XXL"/>
    <x v="75"/>
    <n v="32.1"/>
    <n v="17.982142857142858"/>
  </r>
  <r>
    <n v="14"/>
    <x v="13"/>
    <m/>
    <n v="8"/>
    <n v="6.1178571428571429"/>
    <n v="14.117857142857144"/>
    <x v="15"/>
    <m/>
    <s v="XXL"/>
    <x v="76"/>
    <n v="32.1"/>
    <n v="17.982142857142858"/>
  </r>
  <r>
    <n v="14"/>
    <x v="13"/>
    <m/>
    <n v="8"/>
    <n v="6.1178571428571429"/>
    <n v="14.117857142857144"/>
    <x v="52"/>
    <m/>
    <s v="M"/>
    <x v="77"/>
    <n v="27.59"/>
    <n v="13.472142857142856"/>
  </r>
  <r>
    <n v="14"/>
    <x v="13"/>
    <m/>
    <n v="8"/>
    <n v="6.1178571428571429"/>
    <n v="14.117857142857144"/>
    <x v="52"/>
    <m/>
    <s v="L"/>
    <x v="77"/>
    <n v="27.59"/>
    <n v="13.472142857142856"/>
  </r>
  <r>
    <n v="14"/>
    <x v="13"/>
    <m/>
    <n v="8"/>
    <n v="6.1178571428571429"/>
    <n v="14.117857142857144"/>
    <x v="52"/>
    <m/>
    <s v="L"/>
    <x v="62"/>
    <n v="28.63"/>
    <n v="14.512142857142855"/>
  </r>
  <r>
    <n v="14"/>
    <x v="13"/>
    <m/>
    <n v="8"/>
    <n v="6.1178571428571429"/>
    <n v="14.117857142857144"/>
    <x v="52"/>
    <m/>
    <s v="XL"/>
    <x v="77"/>
    <n v="27.59"/>
    <n v="13.472142857142856"/>
  </r>
  <r>
    <n v="14"/>
    <x v="13"/>
    <m/>
    <n v="8"/>
    <n v="6.1178571428571429"/>
    <n v="14.117857142857144"/>
    <x v="52"/>
    <m/>
    <s v="XL"/>
    <x v="77"/>
    <n v="27.59"/>
    <n v="13.472142857142856"/>
  </r>
  <r>
    <n v="14"/>
    <x v="13"/>
    <m/>
    <n v="8"/>
    <n v="6.1178571428571429"/>
    <n v="14.117857142857144"/>
    <x v="52"/>
    <m/>
    <s v="XXL"/>
    <x v="75"/>
    <n v="31.58"/>
    <n v="17.462142857142855"/>
  </r>
  <r>
    <n v="14"/>
    <x v="13"/>
    <m/>
    <n v="8"/>
    <n v="6.1178571428571429"/>
    <n v="14.117857142857144"/>
    <x v="6"/>
    <m/>
    <s v="M"/>
    <x v="7"/>
    <m/>
    <n v="-14.117857142857144"/>
  </r>
  <r>
    <n v="14"/>
    <x v="13"/>
    <m/>
    <n v="8"/>
    <n v="6.1178571428571429"/>
    <n v="14.117857142857144"/>
    <x v="6"/>
    <m/>
    <s v="XL"/>
    <x v="7"/>
    <m/>
    <n v="-14.117857142857144"/>
  </r>
  <r>
    <n v="14"/>
    <x v="13"/>
    <m/>
    <n v="8"/>
    <n v="6.1178571428571429"/>
    <n v="14.117857142857144"/>
    <x v="6"/>
    <m/>
    <s v="XXL"/>
    <x v="7"/>
    <m/>
    <n v="-14.117857142857144"/>
  </r>
  <r>
    <n v="14"/>
    <x v="13"/>
    <m/>
    <n v="6"/>
    <n v="6.1178571428571429"/>
    <n v="12.117857142857144"/>
    <x v="16"/>
    <m/>
    <s v="M"/>
    <x v="73"/>
    <n v="31.49"/>
    <n v="19.372142857142855"/>
  </r>
  <r>
    <n v="14"/>
    <x v="13"/>
    <m/>
    <n v="6"/>
    <n v="6.1178571428571429"/>
    <n v="12.117857142857144"/>
    <x v="16"/>
    <m/>
    <s v="L"/>
    <x v="78"/>
    <n v="0"/>
    <n v="-12.117857142857144"/>
  </r>
  <r>
    <n v="14"/>
    <x v="13"/>
    <m/>
    <n v="6"/>
    <n v="6.1178571428571429"/>
    <n v="12.117857142857144"/>
    <x v="16"/>
    <m/>
    <s v="XL"/>
    <x v="79"/>
    <n v="0"/>
    <n v="-12.117857142857144"/>
  </r>
  <r>
    <n v="14"/>
    <x v="13"/>
    <m/>
    <n v="6"/>
    <n v="6.1178571428571429"/>
    <n v="12.117857142857144"/>
    <x v="16"/>
    <m/>
    <s v="XXL"/>
    <x v="80"/>
    <n v="34.92"/>
    <n v="22.802142857142858"/>
  </r>
  <r>
    <n v="14"/>
    <x v="13"/>
    <m/>
    <n v="6"/>
    <n v="6.1178571428571429"/>
    <n v="12.117857142857144"/>
    <x v="27"/>
    <m/>
    <s v="M"/>
    <x v="81"/>
    <n v="29.18"/>
    <n v="17.062142857142856"/>
  </r>
  <r>
    <n v="14"/>
    <x v="13"/>
    <m/>
    <n v="6"/>
    <n v="6.1178571428571429"/>
    <n v="12.117857142857144"/>
    <x v="27"/>
    <m/>
    <s v="L"/>
    <x v="62"/>
    <n v="31.66"/>
    <n v="19.542142857142856"/>
  </r>
  <r>
    <n v="14"/>
    <x v="13"/>
    <m/>
    <n v="6"/>
    <n v="6.1178571428571429"/>
    <n v="12.117857142857144"/>
    <x v="27"/>
    <m/>
    <s v="XL"/>
    <x v="82"/>
    <n v="39.75"/>
    <n v="27.632142857142856"/>
  </r>
  <r>
    <n v="14"/>
    <x v="13"/>
    <m/>
    <n v="6"/>
    <n v="6.1178571428571429"/>
    <n v="12.117857142857144"/>
    <x v="54"/>
    <m/>
    <s v="M"/>
    <x v="7"/>
    <m/>
    <n v="-12.117857142857144"/>
  </r>
  <r>
    <n v="14"/>
    <x v="13"/>
    <m/>
    <n v="6"/>
    <n v="6.1178571428571429"/>
    <n v="12.117857142857144"/>
    <x v="54"/>
    <m/>
    <s v="L"/>
    <x v="7"/>
    <m/>
    <n v="-12.117857142857144"/>
  </r>
  <r>
    <n v="14"/>
    <x v="13"/>
    <m/>
    <n v="6"/>
    <n v="6.1178571428571429"/>
    <n v="12.117857142857144"/>
    <x v="54"/>
    <m/>
    <s v="XL"/>
    <x v="7"/>
    <m/>
    <n v="-12.117857142857144"/>
  </r>
  <r>
    <n v="14"/>
    <x v="13"/>
    <m/>
    <n v="6"/>
    <n v="6.1178571428571429"/>
    <n v="12.117857142857144"/>
    <x v="50"/>
    <m/>
    <s v="M"/>
    <x v="83"/>
    <n v="31.66"/>
    <n v="19.542142857142856"/>
  </r>
  <r>
    <n v="14"/>
    <x v="13"/>
    <m/>
    <n v="6"/>
    <n v="6.1178571428571429"/>
    <n v="12.117857142857144"/>
    <x v="50"/>
    <m/>
    <s v="XXL"/>
    <x v="84"/>
    <n v="29.1"/>
    <n v="16.982142857142858"/>
  </r>
  <r>
    <n v="15"/>
    <x v="14"/>
    <m/>
    <n v="18"/>
    <n v="5.7142857142857144"/>
    <n v="23.714285714285715"/>
    <x v="57"/>
    <m/>
    <s v="S"/>
    <x v="78"/>
    <n v="39.75"/>
    <n v="16.035714285714285"/>
  </r>
  <r>
    <n v="15"/>
    <x v="14"/>
    <m/>
    <n v="18"/>
    <n v="5.7142857142857144"/>
    <n v="23.714285714285715"/>
    <x v="39"/>
    <m/>
    <s v="XL"/>
    <x v="78"/>
    <n v="39.75"/>
    <n v="16.035714285714285"/>
  </r>
  <r>
    <n v="15"/>
    <x v="14"/>
    <m/>
    <n v="18"/>
    <n v="5.7142857142857144"/>
    <n v="23.714285714285715"/>
    <x v="39"/>
    <m/>
    <s v="L"/>
    <x v="78"/>
    <n v="39.75"/>
    <n v="16.035714285714285"/>
  </r>
  <r>
    <n v="15"/>
    <x v="14"/>
    <m/>
    <n v="8"/>
    <n v="5.7142857142857144"/>
    <n v="13.714285714285715"/>
    <x v="27"/>
    <m/>
    <s v="L"/>
    <x v="78"/>
    <n v="39.75"/>
    <n v="26.035714285714285"/>
  </r>
  <r>
    <n v="15"/>
    <x v="14"/>
    <m/>
    <n v="18"/>
    <n v="5.7142857142857144"/>
    <n v="23.714285714285715"/>
    <x v="57"/>
    <m/>
    <s v="L"/>
    <x v="7"/>
    <m/>
    <n v="-23.714285714285715"/>
  </r>
  <r>
    <n v="15"/>
    <x v="14"/>
    <m/>
    <n v="6"/>
    <n v="5.7142857142857144"/>
    <n v="11.714285714285715"/>
    <x v="6"/>
    <m/>
    <s v="L"/>
    <x v="7"/>
    <m/>
    <n v="-11.714285714285715"/>
  </r>
  <r>
    <n v="15"/>
    <x v="14"/>
    <m/>
    <n v="6"/>
    <n v="5.7142857142857144"/>
    <n v="11.714285714285715"/>
    <x v="6"/>
    <m/>
    <s v="L"/>
    <x v="7"/>
    <m/>
    <n v="-11.714285714285715"/>
  </r>
  <r>
    <n v="15"/>
    <x v="14"/>
    <m/>
    <n v="6"/>
    <n v="5.7142857142857144"/>
    <n v="11.714285714285715"/>
    <x v="6"/>
    <m/>
    <s v="L"/>
    <x v="7"/>
    <m/>
    <n v="-11.714285714285715"/>
  </r>
  <r>
    <n v="15"/>
    <x v="14"/>
    <m/>
    <n v="6"/>
    <n v="5.7142857142857144"/>
    <n v="11.714285714285715"/>
    <x v="58"/>
    <m/>
    <s v="L"/>
    <x v="7"/>
    <m/>
    <n v="-11.714285714285715"/>
  </r>
  <r>
    <n v="15"/>
    <x v="14"/>
    <m/>
    <n v="8"/>
    <n v="5.7142857142857144"/>
    <n v="13.714285714285715"/>
    <x v="58"/>
    <m/>
    <s v="M"/>
    <x v="7"/>
    <m/>
    <n v="-13.714285714285715"/>
  </r>
  <r>
    <n v="15"/>
    <x v="14"/>
    <m/>
    <n v="8"/>
    <n v="5.7142857142857144"/>
    <n v="13.714285714285715"/>
    <x v="58"/>
    <m/>
    <s v="L"/>
    <x v="7"/>
    <m/>
    <n v="-13.714285714285715"/>
  </r>
  <r>
    <n v="15"/>
    <x v="14"/>
    <m/>
    <n v="11"/>
    <n v="5.7142857142857144"/>
    <n v="16.714285714285715"/>
    <x v="58"/>
    <m/>
    <s v="L"/>
    <x v="78"/>
    <n v="39.75"/>
    <n v="23.035714285714285"/>
  </r>
  <r>
    <n v="15"/>
    <x v="14"/>
    <m/>
    <n v="12"/>
    <n v="5.7142857142857144"/>
    <n v="17.714285714285715"/>
    <x v="59"/>
    <m/>
    <s v="L"/>
    <x v="78"/>
    <n v="39.75"/>
    <n v="22.035714285714285"/>
  </r>
  <r>
    <n v="16"/>
    <x v="15"/>
    <m/>
    <m/>
    <m/>
    <n v="11.19"/>
    <x v="50"/>
    <m/>
    <s v="M"/>
    <x v="85"/>
    <n v="31.66"/>
    <n v="20.47"/>
  </r>
  <r>
    <n v="16"/>
    <x v="15"/>
    <m/>
    <m/>
    <m/>
    <n v="11.19"/>
    <x v="50"/>
    <m/>
    <s v="L"/>
    <x v="73"/>
    <n v="31.66"/>
    <n v="20.47"/>
  </r>
  <r>
    <n v="17"/>
    <x v="16"/>
    <m/>
    <m/>
    <m/>
    <n v="11.19"/>
    <x v="60"/>
    <m/>
    <s v="L"/>
    <x v="78"/>
    <n v="29.01"/>
    <n v="17.82"/>
  </r>
  <r>
    <n v="17"/>
    <x v="16"/>
    <m/>
    <m/>
    <m/>
    <n v="11.19"/>
    <x v="61"/>
    <m/>
    <s v="L"/>
    <x v="78"/>
    <n v="34.81"/>
    <n v="23.620000000000005"/>
  </r>
  <r>
    <n v="19"/>
    <x v="17"/>
    <m/>
    <m/>
    <m/>
    <n v="15.06"/>
    <x v="50"/>
    <m/>
    <s v="M"/>
    <x v="75"/>
    <n v="32.1"/>
    <n v="17.04"/>
  </r>
  <r>
    <n v="19"/>
    <x v="17"/>
    <m/>
    <m/>
    <m/>
    <n v="15.06"/>
    <x v="50"/>
    <m/>
    <s v="M"/>
    <x v="86"/>
    <n v="32.049999999999997"/>
    <n v="16.989999999999995"/>
  </r>
  <r>
    <n v="19"/>
    <x v="17"/>
    <m/>
    <m/>
    <m/>
    <n v="15.06"/>
    <x v="50"/>
    <m/>
    <s v="L"/>
    <x v="7"/>
    <m/>
    <n v="-15.06"/>
  </r>
  <r>
    <n v="19"/>
    <x v="17"/>
    <m/>
    <m/>
    <m/>
    <n v="15.06"/>
    <x v="50"/>
    <m/>
    <s v="L"/>
    <x v="7"/>
    <m/>
    <n v="-15.06"/>
  </r>
  <r>
    <n v="19"/>
    <x v="17"/>
    <m/>
    <m/>
    <m/>
    <n v="15.06"/>
    <x v="50"/>
    <m/>
    <s v="XL"/>
    <x v="7"/>
    <m/>
    <n v="-15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23983-E1A2-4903-9FFA-A81D52F896B3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C25" firstHeaderRow="0" firstDataRow="1" firstDataCol="1"/>
  <pivotFields count="14">
    <pivotField showAll="0"/>
    <pivotField dataField="1" showAll="0">
      <items count="22">
        <item m="1" x="18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m="1" x="19"/>
        <item m="1"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89">
        <item x="64"/>
        <item x="6"/>
        <item x="5"/>
        <item x="4"/>
        <item x="3"/>
        <item x="2"/>
        <item x="1"/>
        <item x="0"/>
        <item x="12"/>
        <item x="11"/>
        <item x="16"/>
        <item x="10"/>
        <item x="35"/>
        <item x="34"/>
        <item x="33"/>
        <item x="32"/>
        <item x="20"/>
        <item x="39"/>
        <item x="38"/>
        <item x="31"/>
        <item x="9"/>
        <item x="29"/>
        <item x="28"/>
        <item x="43"/>
        <item x="24"/>
        <item x="50"/>
        <item x="21"/>
        <item x="22"/>
        <item x="42"/>
        <item x="51"/>
        <item x="37"/>
        <item x="49"/>
        <item x="54"/>
        <item x="53"/>
        <item x="48"/>
        <item x="56"/>
        <item x="55"/>
        <item x="19"/>
        <item x="18"/>
        <item x="47"/>
        <item x="23"/>
        <item x="17"/>
        <item x="25"/>
        <item x="60"/>
        <item x="46"/>
        <item x="26"/>
        <item x="41"/>
        <item x="65"/>
        <item x="59"/>
        <item x="45"/>
        <item x="69"/>
        <item x="67"/>
        <item x="58"/>
        <item x="52"/>
        <item x="8"/>
        <item x="57"/>
        <item x="27"/>
        <item x="15"/>
        <item x="40"/>
        <item x="68"/>
        <item x="14"/>
        <item x="44"/>
        <item x="66"/>
        <item x="13"/>
        <item x="30"/>
        <item x="63"/>
        <item x="61"/>
        <item x="70"/>
        <item x="72"/>
        <item x="36"/>
        <item m="1" x="87"/>
        <item x="71"/>
        <item x="83"/>
        <item x="74"/>
        <item x="77"/>
        <item x="62"/>
        <item x="78"/>
        <item x="79"/>
        <item x="85"/>
        <item x="73"/>
        <item x="80"/>
        <item x="84"/>
        <item x="7"/>
        <item x="75"/>
        <item x="76"/>
        <item x="81"/>
        <item x="82"/>
        <item x="86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9">
    <i>
      <x v="1"/>
    </i>
    <i>
      <x v="2"/>
    </i>
    <i>
      <x v="6"/>
    </i>
    <i>
      <x v="7"/>
    </i>
    <i>
      <x v="8"/>
    </i>
    <i>
      <x v="9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sto jerseys por mes" fld="5" baseField="0" baseItem="0"/>
    <dataField name="Jerseys comprad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23965-AF13-4B4B-B3BA-1709C0CE4DD2}" name="TablaDiná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0" firstDataRow="1" firstDataCol="1"/>
  <pivotFields count="14">
    <pivotField showAll="0"/>
    <pivotField showAll="0">
      <items count="22">
        <item m="1" x="18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m="1" x="19"/>
        <item m="1" x="2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dataField="1" showAll="0">
      <items count="89">
        <item x="64"/>
        <item x="6"/>
        <item x="5"/>
        <item x="4"/>
        <item x="3"/>
        <item x="2"/>
        <item x="1"/>
        <item x="0"/>
        <item x="12"/>
        <item x="11"/>
        <item x="16"/>
        <item x="10"/>
        <item x="35"/>
        <item x="34"/>
        <item x="33"/>
        <item x="32"/>
        <item x="20"/>
        <item x="39"/>
        <item x="38"/>
        <item x="31"/>
        <item x="9"/>
        <item x="29"/>
        <item x="28"/>
        <item x="43"/>
        <item x="24"/>
        <item x="50"/>
        <item x="21"/>
        <item x="22"/>
        <item x="42"/>
        <item x="51"/>
        <item x="37"/>
        <item x="49"/>
        <item x="54"/>
        <item x="53"/>
        <item x="48"/>
        <item x="56"/>
        <item x="55"/>
        <item x="19"/>
        <item x="18"/>
        <item x="47"/>
        <item x="23"/>
        <item x="17"/>
        <item x="25"/>
        <item x="60"/>
        <item x="46"/>
        <item x="26"/>
        <item x="41"/>
        <item x="65"/>
        <item x="59"/>
        <item x="45"/>
        <item x="69"/>
        <item x="67"/>
        <item x="58"/>
        <item x="52"/>
        <item x="8"/>
        <item x="57"/>
        <item x="27"/>
        <item x="15"/>
        <item x="40"/>
        <item x="68"/>
        <item x="14"/>
        <item x="44"/>
        <item x="66"/>
        <item x="13"/>
        <item x="30"/>
        <item x="63"/>
        <item x="61"/>
        <item x="70"/>
        <item x="72"/>
        <item x="36"/>
        <item m="1" x="87"/>
        <item x="71"/>
        <item x="83"/>
        <item x="74"/>
        <item x="77"/>
        <item x="62"/>
        <item x="78"/>
        <item x="79"/>
        <item x="85"/>
        <item x="73"/>
        <item x="80"/>
        <item x="84"/>
        <item x="7"/>
        <item x="75"/>
        <item x="76"/>
        <item x="81"/>
        <item x="82"/>
        <item x="86"/>
        <item t="default"/>
      </items>
    </pivotField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x="7"/>
        <item x="8"/>
        <item x="9"/>
        <item x="10"/>
        <item x="11"/>
        <item x="12"/>
        <item h="1" x="13"/>
        <item t="default"/>
      </items>
    </pivotField>
  </pivotFields>
  <rowFields count="1">
    <field x="13"/>
  </rowFields>
  <rowItems count="9"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Ganancia por mes" fld="11" baseField="0" baseItem="0"/>
    <dataField name="Ganancia promedio por jersey" fld="11" subtotal="average" baseField="12" baseItem="1"/>
    <dataField name="Total venta" fld="10" baseField="0" baseItem="0"/>
    <dataField name="Ventas por m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1F57C-62B8-4480-A472-1801D36C47D3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0:J296" firstHeaderRow="1" firstDataRow="2" firstDataCol="1"/>
  <pivotFields count="14">
    <pivotField showAll="0"/>
    <pivotField axis="axisRow" numFmtId="14" showAll="0">
      <items count="22">
        <item m="1" x="18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m="1" x="19"/>
        <item m="1" x="20"/>
        <item t="default"/>
      </items>
    </pivotField>
    <pivotField showAll="0"/>
    <pivotField showAll="0"/>
    <pivotField showAll="0"/>
    <pivotField showAll="0"/>
    <pivotField axis="axisRow" showAll="0">
      <items count="63">
        <item x="13"/>
        <item x="43"/>
        <item x="16"/>
        <item x="31"/>
        <item x="37"/>
        <item x="36"/>
        <item x="34"/>
        <item x="59"/>
        <item x="58"/>
        <item x="42"/>
        <item x="28"/>
        <item x="29"/>
        <item x="33"/>
        <item x="18"/>
        <item x="30"/>
        <item x="50"/>
        <item x="10"/>
        <item x="7"/>
        <item x="4"/>
        <item x="12"/>
        <item x="11"/>
        <item x="53"/>
        <item x="8"/>
        <item x="46"/>
        <item x="22"/>
        <item x="52"/>
        <item x="15"/>
        <item x="5"/>
        <item x="51"/>
        <item x="0"/>
        <item x="44"/>
        <item x="3"/>
        <item x="56"/>
        <item x="20"/>
        <item x="19"/>
        <item x="32"/>
        <item x="17"/>
        <item x="25"/>
        <item x="6"/>
        <item x="27"/>
        <item x="2"/>
        <item x="26"/>
        <item x="40"/>
        <item x="45"/>
        <item x="48"/>
        <item x="41"/>
        <item x="47"/>
        <item x="57"/>
        <item x="49"/>
        <item x="23"/>
        <item x="39"/>
        <item x="35"/>
        <item x="38"/>
        <item x="9"/>
        <item x="60"/>
        <item x="61"/>
        <item x="24"/>
        <item x="21"/>
        <item x="1"/>
        <item x="14"/>
        <item x="55"/>
        <item x="54"/>
        <item t="default"/>
      </items>
    </pivotField>
    <pivotField showAll="0"/>
    <pivotField showAll="0"/>
    <pivotField axis="axisRow" showAll="0">
      <items count="89">
        <item sd="0" x="64"/>
        <item x="6"/>
        <item x="5"/>
        <item x="4"/>
        <item x="3"/>
        <item x="2"/>
        <item x="1"/>
        <item x="0"/>
        <item x="12"/>
        <item x="11"/>
        <item x="16"/>
        <item x="10"/>
        <item x="35"/>
        <item x="34"/>
        <item x="33"/>
        <item x="32"/>
        <item x="20"/>
        <item x="39"/>
        <item x="38"/>
        <item x="31"/>
        <item x="9"/>
        <item x="29"/>
        <item x="28"/>
        <item x="43"/>
        <item x="24"/>
        <item x="50"/>
        <item x="21"/>
        <item x="22"/>
        <item x="42"/>
        <item x="51"/>
        <item x="37"/>
        <item x="49"/>
        <item x="54"/>
        <item x="53"/>
        <item x="48"/>
        <item x="56"/>
        <item x="55"/>
        <item x="19"/>
        <item x="18"/>
        <item x="47"/>
        <item x="23"/>
        <item x="17"/>
        <item x="25"/>
        <item x="60"/>
        <item x="46"/>
        <item x="26"/>
        <item x="41"/>
        <item x="65"/>
        <item x="59"/>
        <item x="45"/>
        <item x="69"/>
        <item x="67"/>
        <item x="58"/>
        <item x="52"/>
        <item x="8"/>
        <item x="57"/>
        <item x="27"/>
        <item x="15"/>
        <item x="40"/>
        <item x="68"/>
        <item x="14"/>
        <item x="44"/>
        <item x="66"/>
        <item x="13"/>
        <item x="30"/>
        <item x="63"/>
        <item x="61"/>
        <item x="70"/>
        <item x="72"/>
        <item x="36"/>
        <item m="1" x="87"/>
        <item x="71"/>
        <item x="83"/>
        <item x="74"/>
        <item x="77"/>
        <item x="62"/>
        <item x="78"/>
        <item x="79"/>
        <item x="85"/>
        <item x="73"/>
        <item x="80"/>
        <item x="84"/>
        <item x="7"/>
        <item x="75"/>
        <item x="76"/>
        <item x="81"/>
        <item x="82"/>
        <item x="86"/>
        <item t="default"/>
      </items>
    </pivotField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>
      <items count="15">
        <item sd="0" x="0"/>
        <item sd="0" x="1"/>
        <item sd="0" x="2"/>
        <item x="3"/>
        <item x="4"/>
        <item x="5"/>
        <item x="6"/>
        <item sd="0" x="7"/>
        <item x="8"/>
        <item x="9"/>
        <item x="10"/>
        <item x="11"/>
        <item x="12"/>
        <item x="13"/>
        <item t="default"/>
      </items>
    </pivotField>
  </pivotFields>
  <rowFields count="4">
    <field x="13"/>
    <field x="9"/>
    <field x="6"/>
    <field x="1"/>
  </rowFields>
  <rowItems count="265">
    <i>
      <x/>
    </i>
    <i>
      <x v="1"/>
    </i>
    <i>
      <x v="2"/>
    </i>
    <i>
      <x v="7"/>
    </i>
    <i>
      <x v="8"/>
    </i>
    <i r="1">
      <x v="9"/>
    </i>
    <i r="2">
      <x v="29"/>
    </i>
    <i r="3">
      <x v="2"/>
    </i>
    <i r="1">
      <x v="10"/>
    </i>
    <i r="2">
      <x v="18"/>
    </i>
    <i r="3">
      <x v="3"/>
    </i>
    <i r="1">
      <x v="11"/>
    </i>
    <i r="2">
      <x v="29"/>
    </i>
    <i r="3">
      <x v="2"/>
    </i>
    <i r="1">
      <x v="12"/>
    </i>
    <i r="2">
      <x v="13"/>
    </i>
    <i r="3">
      <x v="3"/>
    </i>
    <i r="1">
      <x v="13"/>
    </i>
    <i r="2">
      <x v="2"/>
    </i>
    <i r="3">
      <x v="3"/>
    </i>
    <i r="2">
      <x v="36"/>
    </i>
    <i r="3">
      <x v="3"/>
    </i>
    <i r="1">
      <x v="14"/>
    </i>
    <i r="2">
      <x v="26"/>
    </i>
    <i r="3">
      <x v="3"/>
    </i>
    <i r="1">
      <x v="15"/>
    </i>
    <i r="2">
      <x v="58"/>
    </i>
    <i r="3">
      <x v="3"/>
    </i>
    <i r="2">
      <x v="59"/>
    </i>
    <i r="3">
      <x v="3"/>
    </i>
    <i r="1">
      <x v="16"/>
    </i>
    <i r="2">
      <x v="17"/>
    </i>
    <i r="3">
      <x v="3"/>
    </i>
    <i r="1">
      <x v="17"/>
    </i>
    <i r="2">
      <x v="29"/>
    </i>
    <i r="3">
      <x v="4"/>
    </i>
    <i r="2">
      <x v="57"/>
    </i>
    <i r="3">
      <x v="4"/>
    </i>
    <i r="1">
      <x v="18"/>
    </i>
    <i r="2">
      <x v="29"/>
    </i>
    <i r="3">
      <x v="4"/>
    </i>
    <i r="1">
      <x v="19"/>
    </i>
    <i r="2">
      <x v="58"/>
    </i>
    <i r="3">
      <x v="3"/>
    </i>
    <i>
      <x v="9"/>
    </i>
    <i r="1">
      <x v="20"/>
    </i>
    <i r="2">
      <x v="29"/>
    </i>
    <i r="3">
      <x v="2"/>
    </i>
    <i r="1">
      <x v="21"/>
    </i>
    <i r="2">
      <x v="38"/>
    </i>
    <i r="3">
      <x v="3"/>
    </i>
    <i r="1">
      <x v="22"/>
    </i>
    <i r="2">
      <x/>
    </i>
    <i r="3">
      <x v="3"/>
    </i>
    <i r="2">
      <x v="33"/>
    </i>
    <i r="3">
      <x v="4"/>
    </i>
    <i r="1">
      <x v="23"/>
    </i>
    <i r="2">
      <x v="29"/>
    </i>
    <i r="3">
      <x v="5"/>
    </i>
    <i r="2">
      <x v="37"/>
    </i>
    <i r="3">
      <x v="5"/>
    </i>
    <i r="2">
      <x v="56"/>
    </i>
    <i r="3">
      <x v="5"/>
    </i>
    <i r="1">
      <x v="24"/>
    </i>
    <i r="2">
      <x v="53"/>
    </i>
    <i r="3">
      <x v="3"/>
    </i>
    <i r="1">
      <x v="25"/>
    </i>
    <i r="2">
      <x v="34"/>
    </i>
    <i r="3">
      <x v="5"/>
    </i>
    <i r="1">
      <x v="26"/>
    </i>
    <i r="2">
      <x v="17"/>
    </i>
    <i r="3">
      <x v="3"/>
    </i>
    <i r="2">
      <x v="34"/>
    </i>
    <i r="3">
      <x v="5"/>
    </i>
    <i r="1">
      <x v="27"/>
    </i>
    <i r="2">
      <x v="29"/>
    </i>
    <i r="3">
      <x v="3"/>
    </i>
    <i r="1">
      <x v="28"/>
    </i>
    <i r="2">
      <x v="27"/>
    </i>
    <i r="3">
      <x v="5"/>
    </i>
    <i r="2">
      <x v="40"/>
    </i>
    <i r="3">
      <x v="5"/>
    </i>
    <i r="1">
      <x v="29"/>
    </i>
    <i r="2">
      <x v="58"/>
    </i>
    <i r="3">
      <x v="6"/>
    </i>
    <i r="1">
      <x v="30"/>
    </i>
    <i r="2">
      <x v="29"/>
    </i>
    <i r="3">
      <x v="4"/>
    </i>
    <i r="1">
      <x v="31"/>
    </i>
    <i r="2">
      <x v="24"/>
    </i>
    <i r="3">
      <x v="5"/>
    </i>
    <i r="1">
      <x v="32"/>
    </i>
    <i r="2">
      <x v="39"/>
    </i>
    <i r="3">
      <x v="7"/>
    </i>
    <i r="2">
      <x v="40"/>
    </i>
    <i r="3">
      <x v="7"/>
    </i>
    <i r="2">
      <x v="41"/>
    </i>
    <i r="3">
      <x v="7"/>
    </i>
    <i r="1">
      <x v="33"/>
    </i>
    <i r="2">
      <x v="31"/>
    </i>
    <i r="3">
      <x v="7"/>
    </i>
    <i r="1">
      <x v="34"/>
    </i>
    <i r="2">
      <x v="34"/>
    </i>
    <i r="3">
      <x v="5"/>
    </i>
    <i r="1">
      <x v="35"/>
    </i>
    <i r="2">
      <x v="33"/>
    </i>
    <i r="3">
      <x v="7"/>
    </i>
    <i r="1">
      <x v="36"/>
    </i>
    <i r="2">
      <x v="22"/>
    </i>
    <i r="3">
      <x v="7"/>
    </i>
    <i r="1">
      <x v="37"/>
    </i>
    <i r="2">
      <x v="38"/>
    </i>
    <i r="3">
      <x v="3"/>
    </i>
    <i r="3">
      <x v="7"/>
    </i>
    <i>
      <x v="10"/>
    </i>
    <i r="1">
      <x v="38"/>
    </i>
    <i r="2">
      <x v="27"/>
    </i>
    <i r="3">
      <x v="3"/>
    </i>
    <i r="2">
      <x v="49"/>
    </i>
    <i r="3">
      <x v="5"/>
    </i>
    <i r="1">
      <x v="39"/>
    </i>
    <i r="2">
      <x v="24"/>
    </i>
    <i r="3">
      <x v="5"/>
    </i>
    <i r="1">
      <x v="40"/>
    </i>
    <i r="2">
      <x v="22"/>
    </i>
    <i r="3">
      <x v="3"/>
    </i>
    <i r="1">
      <x v="41"/>
    </i>
    <i r="2">
      <x v="5"/>
    </i>
    <i r="3">
      <x v="8"/>
    </i>
    <i r="2">
      <x v="58"/>
    </i>
    <i r="3">
      <x v="3"/>
    </i>
    <i r="2">
      <x v="59"/>
    </i>
    <i r="3">
      <x v="5"/>
    </i>
    <i r="3">
      <x v="7"/>
    </i>
    <i r="1">
      <x v="42"/>
    </i>
    <i r="2">
      <x v="16"/>
    </i>
    <i r="3">
      <x v="3"/>
    </i>
    <i r="2">
      <x v="18"/>
    </i>
    <i r="3">
      <x v="3"/>
    </i>
    <i r="2">
      <x v="20"/>
    </i>
    <i r="3">
      <x v="3"/>
    </i>
    <i r="2">
      <x v="34"/>
    </i>
    <i r="3">
      <x v="4"/>
    </i>
    <i r="1">
      <x v="43"/>
    </i>
    <i r="2">
      <x v="6"/>
    </i>
    <i r="3">
      <x v="8"/>
    </i>
    <i r="2">
      <x v="9"/>
    </i>
    <i r="3">
      <x v="9"/>
    </i>
    <i r="2">
      <x v="42"/>
    </i>
    <i r="3">
      <x v="9"/>
    </i>
    <i r="2">
      <x v="45"/>
    </i>
    <i r="3">
      <x v="9"/>
    </i>
    <i r="2">
      <x v="50"/>
    </i>
    <i r="3">
      <x v="9"/>
    </i>
    <i r="2">
      <x v="51"/>
    </i>
    <i r="3">
      <x v="8"/>
    </i>
    <i r="1">
      <x v="44"/>
    </i>
    <i r="2">
      <x v="11"/>
    </i>
    <i r="3">
      <x v="8"/>
    </i>
    <i r="2">
      <x v="33"/>
    </i>
    <i r="3">
      <x v="5"/>
    </i>
    <i r="1">
      <x v="45"/>
    </i>
    <i r="2">
      <x v="19"/>
    </i>
    <i r="3">
      <x v="3"/>
    </i>
    <i r="1">
      <x v="46"/>
    </i>
    <i r="2">
      <x v="33"/>
    </i>
    <i r="3">
      <x v="7"/>
    </i>
    <i r="2">
      <x v="58"/>
    </i>
    <i r="3">
      <x v="6"/>
    </i>
    <i r="2">
      <x v="59"/>
    </i>
    <i r="3">
      <x v="5"/>
    </i>
    <i r="3">
      <x v="7"/>
    </i>
    <i r="1">
      <x v="47"/>
    </i>
    <i r="2">
      <x v="27"/>
    </i>
    <i r="3">
      <x v="9"/>
    </i>
    <i r="1">
      <x v="48"/>
    </i>
    <i r="2">
      <x v="12"/>
    </i>
    <i r="3">
      <x v="8"/>
    </i>
    <i r="1">
      <x v="49"/>
    </i>
    <i r="2">
      <x v="24"/>
    </i>
    <i r="3">
      <x v="5"/>
    </i>
    <i r="2">
      <x v="35"/>
    </i>
    <i r="3">
      <x v="8"/>
    </i>
    <i r="2">
      <x v="59"/>
    </i>
    <i r="3">
      <x v="9"/>
    </i>
    <i>
      <x v="11"/>
    </i>
    <i r="1">
      <x v="50"/>
    </i>
    <i r="2">
      <x v="25"/>
    </i>
    <i r="3">
      <x v="12"/>
    </i>
    <i r="1">
      <x v="51"/>
    </i>
    <i r="2">
      <x v="43"/>
    </i>
    <i r="3">
      <x v="10"/>
    </i>
    <i r="1">
      <x v="52"/>
    </i>
    <i r="2">
      <x v="3"/>
    </i>
    <i r="3">
      <x v="8"/>
    </i>
    <i r="1">
      <x v="53"/>
    </i>
    <i r="2">
      <x v="59"/>
    </i>
    <i r="3">
      <x v="7"/>
    </i>
    <i r="1">
      <x v="54"/>
    </i>
    <i r="2">
      <x v="14"/>
    </i>
    <i r="3">
      <x v="8"/>
    </i>
    <i r="2">
      <x v="29"/>
    </i>
    <i r="3">
      <x v="2"/>
    </i>
    <i r="2">
      <x v="30"/>
    </i>
    <i r="3">
      <x v="10"/>
    </i>
    <i r="1">
      <x v="55"/>
    </i>
    <i r="2">
      <x v="11"/>
    </i>
    <i r="3">
      <x v="8"/>
    </i>
    <i r="1">
      <x v="56"/>
    </i>
    <i r="2">
      <x v="18"/>
    </i>
    <i r="3">
      <x v="3"/>
    </i>
    <i r="1">
      <x v="57"/>
    </i>
    <i r="2">
      <x v="31"/>
    </i>
    <i r="3">
      <x v="3"/>
    </i>
    <i r="1">
      <x v="58"/>
    </i>
    <i r="2">
      <x v="27"/>
    </i>
    <i r="3">
      <x v="5"/>
    </i>
    <i r="2">
      <x v="34"/>
    </i>
    <i r="3">
      <x v="5"/>
    </i>
    <i r="1">
      <x v="59"/>
    </i>
    <i r="2">
      <x v="25"/>
    </i>
    <i r="3">
      <x v="12"/>
    </i>
    <i r="1">
      <x v="60"/>
    </i>
    <i r="2">
      <x v="15"/>
    </i>
    <i r="3">
      <x v="12"/>
    </i>
    <i r="2">
      <x v="28"/>
    </i>
    <i r="3">
      <x v="12"/>
    </i>
    <i r="2">
      <x v="40"/>
    </i>
    <i r="3">
      <x v="3"/>
    </i>
    <i r="2">
      <x v="44"/>
    </i>
    <i r="3">
      <x v="12"/>
    </i>
    <i r="2">
      <x v="46"/>
    </i>
    <i r="3">
      <x v="12"/>
    </i>
    <i r="2">
      <x v="48"/>
    </i>
    <i r="3">
      <x v="12"/>
    </i>
    <i r="1">
      <x v="61"/>
    </i>
    <i r="2">
      <x v="10"/>
    </i>
    <i r="3">
      <x v="8"/>
    </i>
    <i r="2">
      <x v="24"/>
    </i>
    <i r="3">
      <x v="5"/>
    </i>
    <i r="2">
      <x v="58"/>
    </i>
    <i r="3">
      <x v="6"/>
    </i>
    <i r="1">
      <x v="62"/>
    </i>
    <i r="2">
      <x v="1"/>
    </i>
    <i r="3">
      <x v="10"/>
    </i>
    <i>
      <x v="12"/>
    </i>
    <i r="1">
      <x v="63"/>
    </i>
    <i r="2">
      <x v="10"/>
    </i>
    <i r="3">
      <x v="8"/>
    </i>
    <i r="2">
      <x v="21"/>
    </i>
    <i r="3">
      <x v="11"/>
    </i>
    <i r="2">
      <x v="29"/>
    </i>
    <i r="3">
      <x v="3"/>
    </i>
    <i r="1">
      <x v="64"/>
    </i>
    <i r="2">
      <x v="17"/>
    </i>
    <i r="3">
      <x v="3"/>
    </i>
    <i r="1">
      <x v="65"/>
    </i>
    <i r="2">
      <x v="14"/>
    </i>
    <i r="3">
      <x v="8"/>
    </i>
    <i r="2">
      <x v="52"/>
    </i>
    <i r="3">
      <x v="8"/>
    </i>
    <i r="1">
      <x v="66"/>
    </i>
    <i r="2">
      <x v="4"/>
    </i>
    <i r="3">
      <x v="8"/>
    </i>
    <i t="grand">
      <x/>
    </i>
  </rowItems>
  <colFields count="1">
    <field x="12"/>
  </colFields>
  <colItems count="9">
    <i>
      <x v="1"/>
    </i>
    <i>
      <x v="2"/>
    </i>
    <i>
      <x v="6"/>
    </i>
    <i>
      <x v="7"/>
    </i>
    <i>
      <x v="8"/>
    </i>
    <i>
      <x v="9"/>
    </i>
    <i>
      <x v="10"/>
    </i>
    <i>
      <x v="1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_de_venta" xr10:uid="{FDAFD5C0-C19C-471F-A582-3F3FD8FDABA2}" sourceName="Meses (Fecha de venta)">
  <pivotTables>
    <pivotTable tabId="5" name="TablaDinámica16"/>
  </pivotTables>
  <data>
    <tabular pivotCacheId="150865753">
      <items count="14">
        <i x="1" s="1"/>
        <i x="2" s="1"/>
        <i x="7" s="1"/>
        <i x="8" s="1"/>
        <i x="9" s="1"/>
        <i x="10" s="1"/>
        <i x="11" s="1"/>
        <i x="12" s="1"/>
        <i x="0"/>
        <i x="3" nd="1"/>
        <i x="4" nd="1"/>
        <i x="5" nd="1"/>
        <i x="6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 de venta)" xr10:uid="{E9DA19F6-04AE-4F3B-9A5A-3329A3120AD1}" cache="SegmentaciónDeDatos_Meses__Fecha_de_venta" caption="Meses (Fecha de venta)" columnCount="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F20ACB-36B9-40B5-A31A-02A624FFC068}" name="Tabla3" displayName="Tabla3" ref="A3:L10" totalsRowShown="0">
  <autoFilter ref="A3:L10" xr:uid="{A5F20ACB-36B9-40B5-A31A-02A624FFC068}"/>
  <tableColumns count="12">
    <tableColumn id="1" xr3:uid="{8D0D73E8-7BD6-475E-B872-1C45B474B311}" name="Pedido"/>
    <tableColumn id="2" xr3:uid="{C9EBA881-7973-41EB-B68E-E49292B97CB8}" name="Fecha de compra"/>
    <tableColumn id="3" xr3:uid="{6D978C95-2C38-42F7-9E7F-36ED2C2B0C4E}" name="Fecha llegada"/>
    <tableColumn id="4" xr3:uid="{023B6A35-0094-4F45-A953-FAED9DB75077}" name=" Costo "/>
    <tableColumn id="5" xr3:uid="{5A701694-BDFF-4FA7-9043-73484CA1A193}" name=" Costo de envio "/>
    <tableColumn id="6" xr3:uid="{70D373BE-9563-45E0-B834-772E08B39792}" name=" Costo total "/>
    <tableColumn id="7" xr3:uid="{63D1ED50-557C-4A34-A457-1988994D3821}" name="Modelo"/>
    <tableColumn id="8" xr3:uid="{62BA577C-7FE6-4941-9CDF-ECDBAB41C581}" name="Jugador"/>
    <tableColumn id="9" xr3:uid="{AA9FB2F4-7AA5-479C-A117-B382A5CCAAC6}" name="Talla"/>
    <tableColumn id="10" xr3:uid="{0333B539-8B83-4D7A-9452-CAA9DE4A8625}" name="Fecha de venta" dataDxfId="26"/>
    <tableColumn id="11" xr3:uid="{FBCDEFB2-3CF3-4BD4-905F-910615D1A1FF}" name="Venta"/>
    <tableColumn id="12" xr3:uid="{EA429F1F-9654-4886-B655-84F2C0FA941C}" name="Gana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21ACDA-13CE-4882-9803-380B9C4CB48D}" name="Tabla6" displayName="Tabla6" ref="A3:L35" totalsRowShown="0">
  <autoFilter ref="A3:L35" xr:uid="{8521ACDA-13CE-4882-9803-380B9C4CB48D}"/>
  <tableColumns count="12">
    <tableColumn id="1" xr3:uid="{868478BC-E39D-4668-A9F7-8ADD2906F95A}" name="Pedido"/>
    <tableColumn id="2" xr3:uid="{DCA27448-A569-4B01-A146-D240B77E82BB}" name="Fecha de compra" dataDxfId="25"/>
    <tableColumn id="3" xr3:uid="{936CF2FE-C8F7-4D34-8F50-F79BB5A2EF18}" name="Fecha llegada" dataDxfId="24"/>
    <tableColumn id="4" xr3:uid="{131CA54F-D713-479E-970E-DEFF4BCFED7B}" name=" Costo "/>
    <tableColumn id="5" xr3:uid="{C07EEDA5-A3D1-438E-968B-C557AA70387E}" name=" Costo de envio "/>
    <tableColumn id="6" xr3:uid="{8A1283F4-CAAE-4609-B466-CE6835A82A4A}" name=" Costo total "/>
    <tableColumn id="7" xr3:uid="{095C59E8-0F3C-46BF-8809-B75A1B2AEE30}" name="Modelo"/>
    <tableColumn id="8" xr3:uid="{A8C0C2DD-822F-40BD-B200-ACFD95896D6C}" name="Jugador"/>
    <tableColumn id="9" xr3:uid="{A426B770-205D-43CD-A97F-03D08D92F65B}" name="Talla"/>
    <tableColumn id="10" xr3:uid="{582EF907-8301-4225-A7C4-18C45A2C63E4}" name="Fecha de venta" dataDxfId="23"/>
    <tableColumn id="11" xr3:uid="{6ABFA088-07EB-4785-9AC8-F1B6DF2C2CFD}" name="Venta"/>
    <tableColumn id="12" xr3:uid="{9B1B65E7-D6A4-4F1C-8187-E20974A9B644}" name="Gana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FBD348-FA78-4431-8C1B-2E55B8CFA49A}" name="Tabla8" displayName="Tabla8" ref="A3:L64" totalsRowShown="0">
  <autoFilter ref="A3:L64" xr:uid="{C7FBD348-FA78-4431-8C1B-2E55B8CFA49A}"/>
  <tableColumns count="12">
    <tableColumn id="1" xr3:uid="{217F9AE9-74ED-4A84-984F-1B90C1268A68}" name="Pedido"/>
    <tableColumn id="2" xr3:uid="{B3882A7B-1B41-4235-A72A-BB8D33FAD6BE}" name="Fecha de compra"/>
    <tableColumn id="3" xr3:uid="{1F3B9B14-F0A8-433F-B08D-CF7C930FFEEE}" name="Fecha llegada"/>
    <tableColumn id="4" xr3:uid="{6D1C6966-D592-44D3-A165-A8E37ED9DD1A}" name=" Costo "/>
    <tableColumn id="5" xr3:uid="{2BD447A0-76C0-4D7E-ADEC-CC81D368D717}" name=" Costo de envio "/>
    <tableColumn id="6" xr3:uid="{BF54395B-C114-4821-ACC3-462B165A8F09}" name=" Costo total "/>
    <tableColumn id="7" xr3:uid="{69BFFD50-D683-43AD-8218-2B30C6656F8E}" name="Modelo"/>
    <tableColumn id="8" xr3:uid="{9BC6D4FD-A3CE-4883-B5AB-C2820F6D5740}" name="Jugador"/>
    <tableColumn id="9" xr3:uid="{C4075F39-DFC0-46EE-A827-B9D320352434}" name="Talla"/>
    <tableColumn id="10" xr3:uid="{52B12A59-6A27-4793-BAEF-825FB9A4D799}" name="Fecha de venta" dataDxfId="22"/>
    <tableColumn id="11" xr3:uid="{F9F81A1D-5203-49C4-953F-4709D988508F}" name="Venta"/>
    <tableColumn id="12" xr3:uid="{46CC10EE-D488-4850-8A5D-3C754CA7DCBE}" name="Gana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414822-90DC-49C6-A6A6-9E2BEE296E31}" name="Tabla4" displayName="Tabla4" ref="A3:L24" totalsRowShown="0">
  <autoFilter ref="A3:L24" xr:uid="{04414822-90DC-49C6-A6A6-9E2BEE296E31}"/>
  <tableColumns count="12">
    <tableColumn id="1" xr3:uid="{C0FF5898-7293-4CEE-92EA-1F8F576FEBF0}" name="Pedido"/>
    <tableColumn id="2" xr3:uid="{CDB148D9-8E05-49C0-8015-0049A0E66D0E}" name="Fecha de compra" dataDxfId="21"/>
    <tableColumn id="3" xr3:uid="{D1C3C434-5CF9-4891-B598-855C52B18634}" name="Fecha llegada"/>
    <tableColumn id="4" xr3:uid="{DB2518DF-B2D3-4B15-8D56-AFBF3D9B7743}" name=" Costo "/>
    <tableColumn id="5" xr3:uid="{B91CAAA1-0748-44D4-AC12-608B1D0BA7AC}" name=" Costo de envio "/>
    <tableColumn id="6" xr3:uid="{77360201-B85C-4F4C-AF1B-9EAF8801717B}" name=" Costo total "/>
    <tableColumn id="7" xr3:uid="{9B8B683F-627C-4992-A97E-EC72D74A65DB}" name="Modelo"/>
    <tableColumn id="8" xr3:uid="{FF2A8CC2-21F7-42F5-AA7D-D0585673DD95}" name="Jugador"/>
    <tableColumn id="9" xr3:uid="{AC2387DC-49B8-42C5-948A-9A867728F4EA}" name="Talla"/>
    <tableColumn id="10" xr3:uid="{E5DC8537-6AC1-43D8-9D95-4A104B8D9B2F}" name="Fecha de venta" dataDxfId="20"/>
    <tableColumn id="11" xr3:uid="{0A21B654-6317-4228-8CDA-AAF551658954}" name="Venta"/>
    <tableColumn id="12" xr3:uid="{64C0EAC6-1500-4A8D-BD10-209119E4E365}" name="Gana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6939D-39F6-4FCF-BCF6-B9690B7C926A}" name="Tabla2" displayName="Tabla2" ref="A1:L192" totalsRowShown="0" headerRowDxfId="19" tableBorderDxfId="18">
  <autoFilter ref="A1:L192" xr:uid="{B5C6939D-39F6-4FCF-BCF6-B9690B7C926A}"/>
  <sortState xmlns:xlrd2="http://schemas.microsoft.com/office/spreadsheetml/2017/richdata2" ref="A2:L142">
    <sortCondition ref="A1:A142"/>
  </sortState>
  <tableColumns count="12">
    <tableColumn id="1" xr3:uid="{ECC93401-63BD-4063-AB8F-BAF47386815F}" name="Pedido"/>
    <tableColumn id="2" xr3:uid="{9E051FBA-DEFC-4B19-BEC5-3513F4F13E87}" name="Fecha de compra" dataDxfId="17"/>
    <tableColumn id="3" xr3:uid="{A10DE78E-D2D5-40C2-A1BC-D901CFD2C1CC}" name="Fecha llegada"/>
    <tableColumn id="4" xr3:uid="{43AFF460-5994-4DA2-86CE-42BCAAB80A99}" name=" Costo " dataCellStyle="Moneda"/>
    <tableColumn id="5" xr3:uid="{8E169AD5-820E-4C08-9815-EB8DCB12CFC2}" name=" Costo de envio " dataCellStyle="Moneda"/>
    <tableColumn id="6" xr3:uid="{1A1E555B-BAC7-4FB0-A42D-4F41305B83D0}" name=" Costo total " dataCellStyle="Moneda"/>
    <tableColumn id="7" xr3:uid="{EE206FA8-87D1-43F1-972C-A8FF09A9C9AE}" name="Modelo"/>
    <tableColumn id="8" xr3:uid="{BB537A1B-117A-4E9A-A61B-B6CE3026E1A1}" name="Jugador"/>
    <tableColumn id="9" xr3:uid="{F939728D-9303-4358-800C-CE6CDFDEDA95}" name="Talla"/>
    <tableColumn id="10" xr3:uid="{00E8EB6E-9539-4738-9ED4-DD13E450586F}" name="Fecha de venta"/>
    <tableColumn id="11" xr3:uid="{480749E6-3DF3-4A6B-835A-5D37ECBC339C}" name="Venta"/>
    <tableColumn id="12" xr3:uid="{095718A2-C1EB-44C6-AED5-5B73C7DFE244}" name="Gananci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A5A56-9B50-46E0-9383-6EAF9FD28A82}" name="Tabla22" displayName="Tabla22" ref="A1:L87" totalsRowShown="0" headerRowDxfId="16" dataDxfId="14" headerRowBorderDxfId="15" tableBorderDxfId="13" totalsRowBorderDxfId="12">
  <autoFilter ref="A1:L87" xr:uid="{3111EA0B-3FBA-4811-80FB-053764700BF0}"/>
  <sortState xmlns:xlrd2="http://schemas.microsoft.com/office/spreadsheetml/2017/richdata2" ref="A2:L87">
    <sortCondition descending="1" ref="K1:K87"/>
  </sortState>
  <tableColumns count="12">
    <tableColumn id="1" xr3:uid="{5848B537-7042-433F-BB28-A776D0210021}" name="Pedido" dataDxfId="11"/>
    <tableColumn id="2" xr3:uid="{6D1A1CBB-5F9F-4AAD-84AB-49DC07F0EC09}" name="Fecha de compra" dataDxfId="10"/>
    <tableColumn id="3" xr3:uid="{7DC31957-00CF-4BD9-8A98-07AC0C0684B8}" name="Fecha llegada" dataDxfId="9"/>
    <tableColumn id="4" xr3:uid="{C4CB6CD7-ED4C-4B5F-8494-9F59C57F9770}" name=" Costo " dataDxfId="8"/>
    <tableColumn id="5" xr3:uid="{F9347F3E-2E29-46A0-8FB3-B754FE450B2C}" name=" Costo de envio " dataDxfId="7"/>
    <tableColumn id="6" xr3:uid="{95C8D60B-2FCE-4CC5-A923-A345238A44AF}" name=" Costo total " dataDxfId="6">
      <calculatedColumnFormula>Tabla22[[#This Row],[ Costo ]]+E2</calculatedColumnFormula>
    </tableColumn>
    <tableColumn id="7" xr3:uid="{DC012EC4-7F26-4D2C-A6B4-ECA013116D1A}" name="Modelo" dataDxfId="5"/>
    <tableColumn id="8" xr3:uid="{88B810D1-F4AB-413B-90B2-A689930631E7}" name="Jugador" dataDxfId="4"/>
    <tableColumn id="9" xr3:uid="{F89FAF90-3CFA-4478-8F05-F295B140844A}" name="Talla" dataDxfId="3"/>
    <tableColumn id="10" xr3:uid="{170C2269-D8EE-4593-B38C-A2343BF4D377}" name="Fecha de venta" dataDxfId="2"/>
    <tableColumn id="11" xr3:uid="{7EF925A5-A8A7-4DAA-86AF-409AF1C061A1}" name="Venta" dataDxfId="1" dataCellStyle="Moneda"/>
    <tableColumn id="12" xr3:uid="{5EE74FB5-5A3D-495F-979C-32F6993D0CBE}" name="Ganancia" dataDxfId="0">
      <calculatedColumnFormula>K2-F2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AE1C-4E2E-49AC-9AA9-FB479D62D6E7}">
  <dimension ref="A1:L10"/>
  <sheetViews>
    <sheetView topLeftCell="B1" workbookViewId="0">
      <selection activeCell="J19" sqref="J19"/>
    </sheetView>
  </sheetViews>
  <sheetFormatPr baseColWidth="10" defaultRowHeight="14.5" x14ac:dyDescent="0.35"/>
  <cols>
    <col min="1" max="1" width="11" bestFit="1" customWidth="1"/>
    <col min="2" max="2" width="17.36328125" bestFit="1" customWidth="1"/>
    <col min="3" max="3" width="14.6328125" bestFit="1" customWidth="1"/>
    <col min="4" max="4" width="11" bestFit="1" customWidth="1"/>
    <col min="5" max="5" width="16" bestFit="1" customWidth="1"/>
    <col min="6" max="6" width="12.81640625" bestFit="1" customWidth="1"/>
    <col min="7" max="7" width="16.08984375" bestFit="1" customWidth="1"/>
    <col min="8" max="9" width="11" bestFit="1" customWidth="1"/>
    <col min="10" max="10" width="15.6328125" bestFit="1" customWidth="1"/>
    <col min="11" max="11" width="11" bestFit="1" customWidth="1"/>
    <col min="12" max="12" width="11.08984375" bestFit="1" customWidth="1"/>
  </cols>
  <sheetData>
    <row r="1" spans="1:12" x14ac:dyDescent="0.35">
      <c r="A1" s="63" t="s">
        <v>129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>
        <v>15</v>
      </c>
      <c r="D4">
        <v>12</v>
      </c>
      <c r="E4">
        <v>5.7142857142857144</v>
      </c>
      <c r="F4">
        <v>17.714285714285715</v>
      </c>
      <c r="G4" t="s">
        <v>122</v>
      </c>
      <c r="J4" s="28">
        <v>46054</v>
      </c>
      <c r="K4">
        <v>39.75</v>
      </c>
      <c r="L4">
        <v>22.035714285714285</v>
      </c>
    </row>
    <row r="5" spans="1:12" x14ac:dyDescent="0.35">
      <c r="A5">
        <v>15</v>
      </c>
      <c r="D5">
        <v>11</v>
      </c>
      <c r="E5">
        <v>5.7142857142857144</v>
      </c>
      <c r="F5">
        <v>16.714285714285715</v>
      </c>
      <c r="G5" t="s">
        <v>121</v>
      </c>
      <c r="J5" s="28">
        <v>46054</v>
      </c>
      <c r="K5">
        <v>39.75</v>
      </c>
      <c r="L5">
        <v>23.035714285714285</v>
      </c>
    </row>
    <row r="6" spans="1:12" x14ac:dyDescent="0.35">
      <c r="A6">
        <v>15</v>
      </c>
      <c r="D6">
        <v>18</v>
      </c>
      <c r="E6">
        <v>5.7142857142857144</v>
      </c>
      <c r="F6">
        <v>23.714285714285715</v>
      </c>
      <c r="G6" t="s">
        <v>119</v>
      </c>
      <c r="J6" s="28">
        <v>46054</v>
      </c>
      <c r="K6">
        <v>39.75</v>
      </c>
      <c r="L6">
        <v>16.035714285714285</v>
      </c>
    </row>
    <row r="7" spans="1:12" x14ac:dyDescent="0.35">
      <c r="A7">
        <v>15</v>
      </c>
      <c r="D7">
        <v>8</v>
      </c>
      <c r="E7">
        <v>5.7142857142857144</v>
      </c>
      <c r="F7">
        <v>13.714285714285715</v>
      </c>
      <c r="G7" t="s">
        <v>76</v>
      </c>
      <c r="J7" s="28">
        <v>46054</v>
      </c>
      <c r="K7">
        <v>39.75</v>
      </c>
      <c r="L7">
        <v>26.035714285714285</v>
      </c>
    </row>
    <row r="8" spans="1:12" x14ac:dyDescent="0.35">
      <c r="A8">
        <v>15</v>
      </c>
      <c r="D8">
        <v>18</v>
      </c>
      <c r="E8">
        <v>5.7142857142857144</v>
      </c>
      <c r="F8">
        <v>23.714285714285715</v>
      </c>
      <c r="G8" t="s">
        <v>99</v>
      </c>
      <c r="J8" s="28">
        <v>46054</v>
      </c>
      <c r="K8">
        <v>39.75</v>
      </c>
      <c r="L8">
        <v>16.035714285714285</v>
      </c>
    </row>
    <row r="9" spans="1:12" x14ac:dyDescent="0.35">
      <c r="A9">
        <v>15</v>
      </c>
      <c r="D9">
        <v>18</v>
      </c>
      <c r="E9">
        <v>5.7142857142857144</v>
      </c>
      <c r="F9">
        <v>23.714285714285715</v>
      </c>
      <c r="G9" t="s">
        <v>99</v>
      </c>
      <c r="J9" s="28">
        <v>46054</v>
      </c>
      <c r="K9">
        <v>39.75</v>
      </c>
      <c r="L9">
        <v>16.035714285714285</v>
      </c>
    </row>
    <row r="10" spans="1:12" x14ac:dyDescent="0.35">
      <c r="A10">
        <v>15</v>
      </c>
      <c r="D10">
        <v>18</v>
      </c>
      <c r="E10">
        <v>5.7142857142857144</v>
      </c>
      <c r="F10">
        <v>23.714285714285715</v>
      </c>
      <c r="G10" t="s">
        <v>119</v>
      </c>
      <c r="J10" s="28">
        <v>46054</v>
      </c>
      <c r="K10">
        <v>39.75</v>
      </c>
      <c r="L10">
        <v>16.035714285714285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4320-CC33-4A43-9FA6-2FB9514DEFA2}">
  <dimension ref="A1:L35"/>
  <sheetViews>
    <sheetView zoomScale="73" workbookViewId="0">
      <selection activeCell="B1" sqref="B1"/>
    </sheetView>
  </sheetViews>
  <sheetFormatPr baseColWidth="10" defaultRowHeight="14.5" x14ac:dyDescent="0.35"/>
  <cols>
    <col min="1" max="1" width="11" bestFit="1" customWidth="1"/>
    <col min="2" max="2" width="17.36328125" bestFit="1" customWidth="1"/>
    <col min="3" max="3" width="14.6328125" bestFit="1" customWidth="1"/>
    <col min="4" max="4" width="11" bestFit="1" customWidth="1"/>
    <col min="5" max="5" width="16" bestFit="1" customWidth="1"/>
    <col min="6" max="6" width="12.81640625" bestFit="1" customWidth="1"/>
    <col min="7" max="7" width="37.6328125" bestFit="1" customWidth="1"/>
    <col min="8" max="8" width="12.90625" bestFit="1" customWidth="1"/>
    <col min="9" max="9" width="11" bestFit="1" customWidth="1"/>
    <col min="10" max="10" width="15.6328125" bestFit="1" customWidth="1"/>
    <col min="11" max="11" width="11" bestFit="1" customWidth="1"/>
    <col min="12" max="12" width="11.08984375" bestFit="1" customWidth="1"/>
  </cols>
  <sheetData>
    <row r="1" spans="1:12" x14ac:dyDescent="0.35">
      <c r="A1" s="63" t="s">
        <v>138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>
        <v>9</v>
      </c>
      <c r="B4" s="28">
        <v>45920</v>
      </c>
      <c r="C4" s="28">
        <v>45942</v>
      </c>
      <c r="D4">
        <v>10.5</v>
      </c>
      <c r="E4">
        <v>4.37</v>
      </c>
      <c r="F4">
        <v>16.25</v>
      </c>
      <c r="G4" t="s">
        <v>101</v>
      </c>
      <c r="I4" t="s">
        <v>14</v>
      </c>
      <c r="J4" s="28">
        <v>45945</v>
      </c>
      <c r="K4">
        <v>26.89</v>
      </c>
      <c r="L4">
        <v>10.64</v>
      </c>
    </row>
    <row r="5" spans="1:12" x14ac:dyDescent="0.35">
      <c r="A5">
        <v>9</v>
      </c>
      <c r="B5" s="28">
        <v>45920</v>
      </c>
      <c r="C5" s="28">
        <v>45942</v>
      </c>
      <c r="D5">
        <v>11.88</v>
      </c>
      <c r="E5">
        <v>4.37</v>
      </c>
      <c r="F5">
        <v>14.870000000000001</v>
      </c>
      <c r="G5" t="s">
        <v>104</v>
      </c>
      <c r="H5" t="s">
        <v>100</v>
      </c>
      <c r="I5" t="s">
        <v>14</v>
      </c>
      <c r="J5" s="28">
        <v>45945</v>
      </c>
      <c r="K5">
        <v>37.64</v>
      </c>
      <c r="L5">
        <v>22.77</v>
      </c>
    </row>
    <row r="6" spans="1:12" x14ac:dyDescent="0.35">
      <c r="A6">
        <v>9</v>
      </c>
      <c r="B6" s="28">
        <v>45920</v>
      </c>
      <c r="C6" s="28">
        <v>45942</v>
      </c>
      <c r="D6">
        <v>11.88</v>
      </c>
      <c r="E6">
        <v>4.37</v>
      </c>
      <c r="F6">
        <v>16.87</v>
      </c>
      <c r="G6" t="s">
        <v>102</v>
      </c>
      <c r="H6" t="s">
        <v>103</v>
      </c>
      <c r="I6" t="s">
        <v>14</v>
      </c>
      <c r="J6" s="28">
        <v>45945</v>
      </c>
      <c r="K6">
        <v>37.64</v>
      </c>
      <c r="L6">
        <v>20.77</v>
      </c>
    </row>
    <row r="7" spans="1:12" x14ac:dyDescent="0.35">
      <c r="A7">
        <v>9</v>
      </c>
      <c r="B7" s="28">
        <v>45920</v>
      </c>
      <c r="C7" s="28">
        <v>45942</v>
      </c>
      <c r="D7">
        <v>11.88</v>
      </c>
      <c r="E7">
        <v>4.37</v>
      </c>
      <c r="F7">
        <v>16.87</v>
      </c>
      <c r="G7" t="s">
        <v>99</v>
      </c>
      <c r="H7" t="s">
        <v>100</v>
      </c>
      <c r="I7" t="s">
        <v>14</v>
      </c>
      <c r="J7" s="28">
        <v>45945</v>
      </c>
      <c r="K7">
        <v>37.64</v>
      </c>
      <c r="L7">
        <v>20.77</v>
      </c>
    </row>
    <row r="8" spans="1:12" x14ac:dyDescent="0.35">
      <c r="A8">
        <v>9</v>
      </c>
      <c r="B8" s="28">
        <v>45920</v>
      </c>
      <c r="C8" s="28">
        <v>45942</v>
      </c>
      <c r="D8">
        <v>10.5</v>
      </c>
      <c r="E8">
        <v>4.37</v>
      </c>
      <c r="F8">
        <v>14.870000000000001</v>
      </c>
      <c r="G8" t="s">
        <v>32</v>
      </c>
      <c r="I8" t="s">
        <v>73</v>
      </c>
      <c r="J8" s="28">
        <v>45953</v>
      </c>
      <c r="K8">
        <v>26.89</v>
      </c>
      <c r="L8">
        <v>12.02</v>
      </c>
    </row>
    <row r="9" spans="1:12" x14ac:dyDescent="0.35">
      <c r="A9">
        <v>9</v>
      </c>
      <c r="B9" s="28">
        <v>45920</v>
      </c>
      <c r="C9" s="28">
        <v>45942</v>
      </c>
      <c r="D9">
        <v>12.5</v>
      </c>
      <c r="E9">
        <v>4.37</v>
      </c>
      <c r="F9">
        <v>16.25</v>
      </c>
      <c r="G9" t="s">
        <v>51</v>
      </c>
      <c r="I9" t="s">
        <v>17</v>
      </c>
      <c r="J9" s="28">
        <v>45961</v>
      </c>
      <c r="K9">
        <v>32.17</v>
      </c>
      <c r="L9">
        <v>15.920000000000002</v>
      </c>
    </row>
    <row r="10" spans="1:12" x14ac:dyDescent="0.35">
      <c r="A10">
        <v>9</v>
      </c>
      <c r="B10" s="28">
        <v>45920</v>
      </c>
      <c r="C10" s="28">
        <v>45942</v>
      </c>
      <c r="D10">
        <v>12.5</v>
      </c>
      <c r="E10">
        <v>4.37</v>
      </c>
      <c r="F10">
        <v>16.25</v>
      </c>
      <c r="G10" t="s">
        <v>51</v>
      </c>
      <c r="I10" t="s">
        <v>14</v>
      </c>
      <c r="J10" s="28">
        <v>45961</v>
      </c>
      <c r="K10">
        <v>32.17</v>
      </c>
      <c r="L10">
        <v>15.920000000000002</v>
      </c>
    </row>
    <row r="11" spans="1:12" x14ac:dyDescent="0.35">
      <c r="A11">
        <v>8</v>
      </c>
      <c r="B11" s="28">
        <v>45910</v>
      </c>
      <c r="D11">
        <v>22.33</v>
      </c>
      <c r="E11">
        <v>0</v>
      </c>
      <c r="F11">
        <v>12.91</v>
      </c>
      <c r="G11" t="s">
        <v>91</v>
      </c>
      <c r="I11" t="s">
        <v>17</v>
      </c>
      <c r="J11" s="28">
        <v>45942</v>
      </c>
      <c r="K11">
        <v>29.88</v>
      </c>
      <c r="L11">
        <v>16.97</v>
      </c>
    </row>
    <row r="12" spans="1:12" x14ac:dyDescent="0.35">
      <c r="A12">
        <v>8</v>
      </c>
      <c r="B12" s="28">
        <v>45910</v>
      </c>
      <c r="D12">
        <v>8.8000000000000007</v>
      </c>
      <c r="E12">
        <v>4.1100000000000003</v>
      </c>
      <c r="F12">
        <v>12.91</v>
      </c>
      <c r="G12" t="s">
        <v>89</v>
      </c>
      <c r="I12" t="s">
        <v>17</v>
      </c>
      <c r="J12" s="28">
        <v>45945</v>
      </c>
      <c r="K12">
        <v>37</v>
      </c>
      <c r="L12">
        <v>24.09</v>
      </c>
    </row>
    <row r="13" spans="1:12" x14ac:dyDescent="0.35">
      <c r="A13">
        <v>8</v>
      </c>
      <c r="B13" s="28">
        <v>45910</v>
      </c>
      <c r="D13">
        <v>8.8000000000000007</v>
      </c>
      <c r="E13">
        <v>4.1100000000000003</v>
      </c>
      <c r="F13">
        <v>12.91</v>
      </c>
      <c r="G13" t="s">
        <v>88</v>
      </c>
      <c r="I13" t="s">
        <v>17</v>
      </c>
      <c r="J13" s="28">
        <v>45945</v>
      </c>
      <c r="K13">
        <v>37</v>
      </c>
      <c r="L13">
        <v>24.09</v>
      </c>
    </row>
    <row r="14" spans="1:12" x14ac:dyDescent="0.35">
      <c r="A14">
        <v>8</v>
      </c>
      <c r="B14" s="28">
        <v>45910</v>
      </c>
      <c r="D14">
        <v>8.8000000000000007</v>
      </c>
      <c r="E14">
        <v>4.1100000000000003</v>
      </c>
      <c r="F14">
        <v>12.91</v>
      </c>
      <c r="G14" t="s">
        <v>93</v>
      </c>
      <c r="I14" t="s">
        <v>14</v>
      </c>
      <c r="J14" s="28">
        <v>45946</v>
      </c>
      <c r="K14">
        <v>29.88</v>
      </c>
      <c r="L14">
        <v>16.97</v>
      </c>
    </row>
    <row r="15" spans="1:12" x14ac:dyDescent="0.35">
      <c r="A15">
        <v>8</v>
      </c>
      <c r="B15" s="28">
        <v>45910</v>
      </c>
      <c r="D15">
        <v>8.8000000000000007</v>
      </c>
      <c r="E15">
        <v>4.1100000000000003</v>
      </c>
      <c r="F15">
        <v>12.91</v>
      </c>
      <c r="G15" t="s">
        <v>96</v>
      </c>
      <c r="I15" t="s">
        <v>14</v>
      </c>
      <c r="J15" s="28">
        <v>45959</v>
      </c>
      <c r="K15">
        <v>40.36</v>
      </c>
      <c r="L15">
        <v>27.45</v>
      </c>
    </row>
    <row r="16" spans="1:12" x14ac:dyDescent="0.35">
      <c r="A16">
        <v>8</v>
      </c>
      <c r="B16" s="28">
        <v>45910</v>
      </c>
      <c r="D16">
        <v>8.8000000000000007</v>
      </c>
      <c r="E16">
        <v>4.1100000000000003</v>
      </c>
      <c r="F16">
        <v>12.91</v>
      </c>
      <c r="G16" t="s">
        <v>97</v>
      </c>
      <c r="I16" t="s">
        <v>24</v>
      </c>
      <c r="J16" s="28">
        <v>45961</v>
      </c>
      <c r="K16">
        <v>27.17</v>
      </c>
      <c r="L16">
        <v>14.260000000000002</v>
      </c>
    </row>
    <row r="17" spans="1:12" x14ac:dyDescent="0.35">
      <c r="A17">
        <v>7</v>
      </c>
      <c r="B17" s="28">
        <v>45897</v>
      </c>
      <c r="D17">
        <v>10</v>
      </c>
      <c r="E17">
        <v>5.33</v>
      </c>
      <c r="F17">
        <v>15.83</v>
      </c>
      <c r="G17" t="s">
        <v>27</v>
      </c>
      <c r="I17" t="s">
        <v>14</v>
      </c>
      <c r="J17" s="28">
        <v>45951</v>
      </c>
      <c r="K17">
        <v>32.51</v>
      </c>
      <c r="L17">
        <v>16.68</v>
      </c>
    </row>
    <row r="18" spans="1:12" x14ac:dyDescent="0.35">
      <c r="A18">
        <v>7</v>
      </c>
      <c r="B18" s="28">
        <v>45897</v>
      </c>
      <c r="D18">
        <v>11.5</v>
      </c>
      <c r="E18">
        <v>5.33</v>
      </c>
      <c r="F18">
        <v>16.829999999999998</v>
      </c>
      <c r="G18" t="s">
        <v>51</v>
      </c>
      <c r="H18" t="s">
        <v>16</v>
      </c>
      <c r="I18" t="s">
        <v>17</v>
      </c>
      <c r="J18" s="28">
        <v>45942</v>
      </c>
      <c r="K18">
        <v>32.5</v>
      </c>
      <c r="L18">
        <v>15.670000000000002</v>
      </c>
    </row>
    <row r="19" spans="1:12" x14ac:dyDescent="0.35">
      <c r="A19">
        <v>7</v>
      </c>
      <c r="B19" s="28">
        <v>45897</v>
      </c>
      <c r="D19">
        <v>11.5</v>
      </c>
      <c r="E19">
        <v>5.33</v>
      </c>
      <c r="F19">
        <v>15.33</v>
      </c>
      <c r="G19" t="s">
        <v>51</v>
      </c>
      <c r="H19" t="s">
        <v>16</v>
      </c>
      <c r="I19" t="s">
        <v>24</v>
      </c>
      <c r="J19" s="28">
        <v>45951</v>
      </c>
      <c r="K19">
        <v>35.22</v>
      </c>
      <c r="L19">
        <v>19.89</v>
      </c>
    </row>
    <row r="20" spans="1:12" x14ac:dyDescent="0.35">
      <c r="A20">
        <v>6</v>
      </c>
      <c r="B20" s="28">
        <v>45892</v>
      </c>
      <c r="C20" s="28">
        <v>45908</v>
      </c>
      <c r="D20">
        <v>10.5</v>
      </c>
      <c r="E20">
        <v>6.25</v>
      </c>
      <c r="F20">
        <v>16.75</v>
      </c>
      <c r="G20" t="s">
        <v>15</v>
      </c>
      <c r="H20" t="s">
        <v>16</v>
      </c>
      <c r="I20" t="s">
        <v>24</v>
      </c>
      <c r="J20" s="28">
        <v>45951</v>
      </c>
      <c r="K20">
        <v>35.42</v>
      </c>
      <c r="L20">
        <v>18.670000000000002</v>
      </c>
    </row>
    <row r="21" spans="1:12" x14ac:dyDescent="0.35">
      <c r="A21">
        <v>5</v>
      </c>
      <c r="B21" s="28">
        <v>45887</v>
      </c>
      <c r="C21" s="28">
        <v>45914</v>
      </c>
      <c r="D21">
        <v>15</v>
      </c>
      <c r="E21">
        <v>4.1100000000000003</v>
      </c>
      <c r="F21">
        <v>15.11</v>
      </c>
      <c r="G21" t="s">
        <v>70</v>
      </c>
      <c r="I21" t="s">
        <v>71</v>
      </c>
      <c r="J21" s="28">
        <v>45931</v>
      </c>
      <c r="K21">
        <v>31.97</v>
      </c>
      <c r="L21">
        <v>16.86</v>
      </c>
    </row>
    <row r="22" spans="1:12" x14ac:dyDescent="0.35">
      <c r="A22">
        <v>5</v>
      </c>
      <c r="B22" s="28">
        <v>45887</v>
      </c>
      <c r="C22" s="28">
        <v>45914</v>
      </c>
      <c r="D22">
        <v>10.5</v>
      </c>
      <c r="E22">
        <v>4.1100000000000003</v>
      </c>
      <c r="F22">
        <v>15.11</v>
      </c>
      <c r="G22" t="s">
        <v>67</v>
      </c>
      <c r="I22" t="s">
        <v>24</v>
      </c>
      <c r="J22" s="28">
        <v>45933</v>
      </c>
      <c r="K22">
        <v>27.22</v>
      </c>
      <c r="L22">
        <v>12.11</v>
      </c>
    </row>
    <row r="23" spans="1:12" x14ac:dyDescent="0.35">
      <c r="A23">
        <v>3</v>
      </c>
      <c r="B23" s="28">
        <v>45849</v>
      </c>
      <c r="C23" s="28">
        <v>45881</v>
      </c>
      <c r="D23">
        <v>12</v>
      </c>
      <c r="E23">
        <v>5.92</v>
      </c>
      <c r="F23">
        <v>16.420000000000002</v>
      </c>
      <c r="G23" t="s">
        <v>15</v>
      </c>
      <c r="H23" t="s">
        <v>52</v>
      </c>
      <c r="I23" t="s">
        <v>24</v>
      </c>
      <c r="J23" s="28">
        <v>45942</v>
      </c>
      <c r="K23">
        <v>32.97</v>
      </c>
      <c r="L23">
        <v>16.549999999999997</v>
      </c>
    </row>
    <row r="24" spans="1:12" x14ac:dyDescent="0.35">
      <c r="A24">
        <v>3</v>
      </c>
      <c r="B24" s="28">
        <v>45849</v>
      </c>
      <c r="C24" s="28">
        <v>45881</v>
      </c>
      <c r="D24">
        <v>9</v>
      </c>
      <c r="E24">
        <v>5.92</v>
      </c>
      <c r="F24">
        <v>14.92</v>
      </c>
      <c r="G24" t="s">
        <v>32</v>
      </c>
      <c r="I24" t="s">
        <v>17</v>
      </c>
      <c r="J24" s="28">
        <v>45931</v>
      </c>
      <c r="K24">
        <v>27.22</v>
      </c>
      <c r="L24">
        <v>12.299999999999999</v>
      </c>
    </row>
    <row r="25" spans="1:12" x14ac:dyDescent="0.35">
      <c r="A25">
        <v>5</v>
      </c>
      <c r="B25" s="28">
        <v>45887</v>
      </c>
      <c r="C25" s="28">
        <v>45914</v>
      </c>
      <c r="D25">
        <v>10.5</v>
      </c>
      <c r="E25">
        <v>4.1100000000000003</v>
      </c>
      <c r="F25">
        <v>14.61</v>
      </c>
      <c r="G25" t="s">
        <v>27</v>
      </c>
      <c r="I25" t="s">
        <v>14</v>
      </c>
      <c r="J25" s="28">
        <v>45946</v>
      </c>
      <c r="K25">
        <v>32.51</v>
      </c>
      <c r="L25">
        <v>17.899999999999999</v>
      </c>
    </row>
    <row r="26" spans="1:12" x14ac:dyDescent="0.35">
      <c r="A26">
        <v>5</v>
      </c>
      <c r="B26" s="28">
        <v>45887</v>
      </c>
      <c r="C26" s="28">
        <v>45914</v>
      </c>
      <c r="D26">
        <v>10.5</v>
      </c>
      <c r="E26">
        <v>4.1100000000000003</v>
      </c>
      <c r="F26">
        <v>15.11</v>
      </c>
      <c r="G26" t="s">
        <v>67</v>
      </c>
      <c r="I26" t="s">
        <v>14</v>
      </c>
      <c r="J26" s="28">
        <v>45961</v>
      </c>
      <c r="K26">
        <v>29.62</v>
      </c>
      <c r="L26">
        <v>14.510000000000002</v>
      </c>
    </row>
    <row r="27" spans="1:12" x14ac:dyDescent="0.35">
      <c r="A27">
        <v>5</v>
      </c>
      <c r="B27" s="28">
        <v>45887</v>
      </c>
      <c r="C27" s="28">
        <v>45908</v>
      </c>
      <c r="D27">
        <v>11</v>
      </c>
      <c r="E27">
        <v>4.1100000000000003</v>
      </c>
      <c r="F27">
        <v>14.61</v>
      </c>
      <c r="G27" t="s">
        <v>51</v>
      </c>
      <c r="H27" t="s">
        <v>16</v>
      </c>
      <c r="I27" t="s">
        <v>17</v>
      </c>
      <c r="J27" s="28">
        <v>45942</v>
      </c>
      <c r="K27">
        <v>32.270000000000003</v>
      </c>
      <c r="L27">
        <v>17.660000000000004</v>
      </c>
    </row>
    <row r="28" spans="1:12" x14ac:dyDescent="0.35">
      <c r="A28">
        <v>5</v>
      </c>
      <c r="B28" s="28">
        <v>45887</v>
      </c>
      <c r="C28" s="28">
        <v>45908</v>
      </c>
      <c r="D28">
        <v>11</v>
      </c>
      <c r="E28">
        <v>4.1100000000000003</v>
      </c>
      <c r="F28">
        <v>14.61</v>
      </c>
      <c r="G28" t="s">
        <v>51</v>
      </c>
      <c r="H28" t="s">
        <v>16</v>
      </c>
      <c r="I28" t="s">
        <v>14</v>
      </c>
      <c r="J28" s="28">
        <v>45951</v>
      </c>
      <c r="K28">
        <v>35.22</v>
      </c>
      <c r="L28">
        <v>20.61</v>
      </c>
    </row>
    <row r="29" spans="1:12" x14ac:dyDescent="0.35">
      <c r="A29">
        <v>3</v>
      </c>
      <c r="B29" s="28">
        <v>45849</v>
      </c>
      <c r="C29" s="28">
        <v>45872</v>
      </c>
      <c r="D29">
        <v>11</v>
      </c>
      <c r="E29">
        <v>5.92</v>
      </c>
      <c r="F29">
        <v>17.920000000000002</v>
      </c>
      <c r="G29" t="s">
        <v>39</v>
      </c>
      <c r="H29" t="s">
        <v>40</v>
      </c>
      <c r="I29">
        <v>28</v>
      </c>
      <c r="J29" s="28">
        <v>45936</v>
      </c>
      <c r="K29">
        <v>24.46</v>
      </c>
      <c r="L29">
        <v>6.5399999999999991</v>
      </c>
    </row>
    <row r="30" spans="1:12" x14ac:dyDescent="0.35">
      <c r="A30">
        <v>5</v>
      </c>
      <c r="B30" s="28">
        <v>45887</v>
      </c>
      <c r="C30" s="28">
        <v>45908</v>
      </c>
      <c r="D30">
        <v>11</v>
      </c>
      <c r="E30">
        <v>4.1100000000000003</v>
      </c>
      <c r="F30">
        <v>14.61</v>
      </c>
      <c r="G30" t="s">
        <v>51</v>
      </c>
      <c r="H30" t="s">
        <v>16</v>
      </c>
      <c r="I30" t="s">
        <v>14</v>
      </c>
      <c r="J30" s="28">
        <v>45951</v>
      </c>
      <c r="K30">
        <v>35.22</v>
      </c>
      <c r="L30">
        <v>20.61</v>
      </c>
    </row>
    <row r="31" spans="1:12" x14ac:dyDescent="0.35">
      <c r="A31">
        <v>3</v>
      </c>
      <c r="B31" s="28">
        <v>45849</v>
      </c>
      <c r="C31" s="28">
        <v>45872</v>
      </c>
      <c r="D31">
        <v>8</v>
      </c>
      <c r="E31">
        <v>5.92</v>
      </c>
      <c r="F31">
        <v>14.92</v>
      </c>
      <c r="G31" t="s">
        <v>37</v>
      </c>
      <c r="H31" t="s">
        <v>38</v>
      </c>
      <c r="I31" t="s">
        <v>14</v>
      </c>
      <c r="J31" s="28">
        <v>45943</v>
      </c>
      <c r="K31">
        <v>21.66</v>
      </c>
      <c r="L31">
        <v>6.74</v>
      </c>
    </row>
    <row r="32" spans="1:12" x14ac:dyDescent="0.35">
      <c r="A32">
        <v>3</v>
      </c>
      <c r="B32" s="28">
        <v>45849</v>
      </c>
      <c r="C32" s="28">
        <v>45872</v>
      </c>
      <c r="D32">
        <v>8</v>
      </c>
      <c r="E32">
        <v>5.92</v>
      </c>
      <c r="F32">
        <v>16.920000000000002</v>
      </c>
      <c r="G32" t="s">
        <v>22</v>
      </c>
      <c r="H32" t="s">
        <v>23</v>
      </c>
      <c r="I32" t="s">
        <v>14</v>
      </c>
      <c r="J32" s="28">
        <v>45943</v>
      </c>
      <c r="K32">
        <v>21.66</v>
      </c>
      <c r="L32">
        <v>4.7399999999999984</v>
      </c>
    </row>
    <row r="33" spans="1:12" x14ac:dyDescent="0.35">
      <c r="A33">
        <v>3</v>
      </c>
      <c r="B33" s="28">
        <v>45849</v>
      </c>
      <c r="C33" s="28">
        <v>45872</v>
      </c>
      <c r="D33">
        <v>8</v>
      </c>
      <c r="E33">
        <v>5.92</v>
      </c>
      <c r="F33">
        <v>13.92</v>
      </c>
      <c r="G33" t="s">
        <v>35</v>
      </c>
      <c r="H33" t="s">
        <v>36</v>
      </c>
      <c r="I33" t="s">
        <v>24</v>
      </c>
      <c r="J33" s="28">
        <v>45943</v>
      </c>
      <c r="K33">
        <v>21.66</v>
      </c>
      <c r="L33">
        <v>7.74</v>
      </c>
    </row>
    <row r="34" spans="1:12" x14ac:dyDescent="0.35">
      <c r="A34">
        <v>3</v>
      </c>
      <c r="B34" s="28">
        <v>45849</v>
      </c>
      <c r="C34" s="28">
        <v>45872</v>
      </c>
      <c r="D34">
        <v>10.65</v>
      </c>
      <c r="E34">
        <v>5.92</v>
      </c>
      <c r="F34">
        <v>16.420000000000002</v>
      </c>
      <c r="G34" t="s">
        <v>41</v>
      </c>
      <c r="H34" t="s">
        <v>42</v>
      </c>
      <c r="I34">
        <v>22</v>
      </c>
      <c r="J34" s="28">
        <v>45949</v>
      </c>
      <c r="K34">
        <v>21.67</v>
      </c>
      <c r="L34">
        <v>5.25</v>
      </c>
    </row>
    <row r="35" spans="1:12" x14ac:dyDescent="0.35">
      <c r="A35">
        <v>4</v>
      </c>
      <c r="F35">
        <v>15.83</v>
      </c>
      <c r="G35" t="s">
        <v>68</v>
      </c>
      <c r="H35" t="s">
        <v>13</v>
      </c>
      <c r="I35" t="s">
        <v>25</v>
      </c>
      <c r="J35" s="28">
        <v>45943</v>
      </c>
      <c r="K35">
        <v>37.909999999999997</v>
      </c>
      <c r="L35">
        <v>22.08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1BCE-BD0F-4FDA-8D31-8CC01F2CC51A}">
  <dimension ref="A1:L64"/>
  <sheetViews>
    <sheetView zoomScale="72" workbookViewId="0">
      <selection activeCell="A27" sqref="A27"/>
    </sheetView>
  </sheetViews>
  <sheetFormatPr baseColWidth="10" defaultRowHeight="14.5" x14ac:dyDescent="0.35"/>
  <cols>
    <col min="1" max="1" width="11" bestFit="1" customWidth="1"/>
    <col min="2" max="2" width="17.36328125" bestFit="1" customWidth="1"/>
    <col min="3" max="3" width="14.6328125" bestFit="1" customWidth="1"/>
    <col min="4" max="4" width="11" bestFit="1" customWidth="1"/>
    <col min="5" max="5" width="16" bestFit="1" customWidth="1"/>
    <col min="6" max="6" width="12.81640625" bestFit="1" customWidth="1"/>
    <col min="7" max="7" width="29.453125" bestFit="1" customWidth="1"/>
    <col min="8" max="8" width="12.90625" bestFit="1" customWidth="1"/>
    <col min="9" max="9" width="11" bestFit="1" customWidth="1"/>
    <col min="10" max="10" width="15.6328125" bestFit="1" customWidth="1"/>
    <col min="11" max="11" width="11" bestFit="1" customWidth="1"/>
    <col min="12" max="12" width="11.08984375" bestFit="1" customWidth="1"/>
  </cols>
  <sheetData>
    <row r="1" spans="1:12" x14ac:dyDescent="0.35">
      <c r="A1" s="63" t="s">
        <v>140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>
        <v>18</v>
      </c>
    </row>
    <row r="5" spans="1:12" x14ac:dyDescent="0.35">
      <c r="A5">
        <v>17</v>
      </c>
      <c r="F5">
        <v>11.19</v>
      </c>
      <c r="G5" t="s">
        <v>128</v>
      </c>
      <c r="I5" t="s">
        <v>14</v>
      </c>
      <c r="J5" s="28">
        <v>46054</v>
      </c>
      <c r="K5">
        <v>34.81</v>
      </c>
      <c r="L5">
        <v>23.620000000000005</v>
      </c>
    </row>
    <row r="6" spans="1:12" x14ac:dyDescent="0.35">
      <c r="A6">
        <v>17</v>
      </c>
      <c r="F6">
        <v>11.19</v>
      </c>
      <c r="G6" t="s">
        <v>127</v>
      </c>
      <c r="I6" t="s">
        <v>14</v>
      </c>
      <c r="J6" s="28">
        <v>46054</v>
      </c>
      <c r="K6">
        <v>29.01</v>
      </c>
      <c r="L6">
        <v>17.82</v>
      </c>
    </row>
    <row r="7" spans="1:12" x14ac:dyDescent="0.35">
      <c r="A7">
        <v>16</v>
      </c>
      <c r="F7">
        <v>11.19</v>
      </c>
      <c r="G7" t="s">
        <v>126</v>
      </c>
      <c r="I7" t="s">
        <v>14</v>
      </c>
      <c r="J7" s="28">
        <v>46059</v>
      </c>
      <c r="K7">
        <v>31.66</v>
      </c>
      <c r="L7">
        <v>20.47</v>
      </c>
    </row>
    <row r="8" spans="1:12" x14ac:dyDescent="0.35">
      <c r="A8">
        <v>16</v>
      </c>
      <c r="F8">
        <v>11.19</v>
      </c>
      <c r="G8" t="s">
        <v>126</v>
      </c>
      <c r="I8" t="s">
        <v>17</v>
      </c>
      <c r="J8" s="28">
        <v>46058</v>
      </c>
      <c r="K8">
        <v>31.66</v>
      </c>
      <c r="L8">
        <v>20.47</v>
      </c>
    </row>
    <row r="9" spans="1:12" x14ac:dyDescent="0.35">
      <c r="A9">
        <v>15</v>
      </c>
      <c r="D9">
        <v>12</v>
      </c>
      <c r="E9">
        <v>5.7142857142857144</v>
      </c>
      <c r="F9">
        <v>17.714285714285715</v>
      </c>
      <c r="G9" t="s">
        <v>122</v>
      </c>
      <c r="J9" s="28">
        <v>46054</v>
      </c>
      <c r="K9">
        <v>39.75</v>
      </c>
      <c r="L9">
        <v>22.035714285714285</v>
      </c>
    </row>
    <row r="10" spans="1:12" x14ac:dyDescent="0.35">
      <c r="A10">
        <v>15</v>
      </c>
      <c r="D10">
        <v>11</v>
      </c>
      <c r="E10">
        <v>5.7142857142857144</v>
      </c>
      <c r="F10">
        <v>16.714285714285715</v>
      </c>
      <c r="G10" t="s">
        <v>121</v>
      </c>
      <c r="J10" s="28">
        <v>46054</v>
      </c>
      <c r="K10">
        <v>39.75</v>
      </c>
      <c r="L10">
        <v>23.035714285714285</v>
      </c>
    </row>
    <row r="11" spans="1:12" x14ac:dyDescent="0.35">
      <c r="A11">
        <v>15</v>
      </c>
      <c r="D11">
        <v>8</v>
      </c>
      <c r="E11">
        <v>5.7142857142857144</v>
      </c>
      <c r="F11">
        <v>13.714285714285715</v>
      </c>
      <c r="G11" t="s">
        <v>121</v>
      </c>
      <c r="L11">
        <v>-13.714285714285715</v>
      </c>
    </row>
    <row r="12" spans="1:12" x14ac:dyDescent="0.35">
      <c r="A12">
        <v>15</v>
      </c>
      <c r="D12">
        <v>8</v>
      </c>
      <c r="E12">
        <v>5.7142857142857144</v>
      </c>
      <c r="F12">
        <v>13.714285714285715</v>
      </c>
      <c r="G12" t="s">
        <v>121</v>
      </c>
      <c r="L12">
        <v>-13.714285714285715</v>
      </c>
    </row>
    <row r="13" spans="1:12" x14ac:dyDescent="0.35">
      <c r="A13">
        <v>15</v>
      </c>
      <c r="D13">
        <v>6</v>
      </c>
      <c r="E13">
        <v>5.7142857142857144</v>
      </c>
      <c r="F13">
        <v>11.714285714285715</v>
      </c>
      <c r="G13" t="s">
        <v>121</v>
      </c>
      <c r="L13">
        <v>-11.714285714285715</v>
      </c>
    </row>
    <row r="14" spans="1:12" x14ac:dyDescent="0.35">
      <c r="A14">
        <v>15</v>
      </c>
      <c r="D14">
        <v>6</v>
      </c>
      <c r="E14">
        <v>5.7142857142857144</v>
      </c>
      <c r="F14">
        <v>11.714285714285715</v>
      </c>
      <c r="G14" t="s">
        <v>34</v>
      </c>
      <c r="I14" t="s">
        <v>14</v>
      </c>
      <c r="L14">
        <v>-11.714285714285715</v>
      </c>
    </row>
    <row r="15" spans="1:12" x14ac:dyDescent="0.35">
      <c r="A15">
        <v>15</v>
      </c>
      <c r="D15">
        <v>6</v>
      </c>
      <c r="E15">
        <v>5.7142857142857144</v>
      </c>
      <c r="F15">
        <v>11.714285714285715</v>
      </c>
      <c r="G15" t="s">
        <v>34</v>
      </c>
      <c r="I15" t="s">
        <v>14</v>
      </c>
      <c r="L15">
        <v>-11.714285714285715</v>
      </c>
    </row>
    <row r="16" spans="1:12" x14ac:dyDescent="0.35">
      <c r="A16">
        <v>15</v>
      </c>
      <c r="D16">
        <v>6</v>
      </c>
      <c r="E16">
        <v>5.7142857142857144</v>
      </c>
      <c r="F16">
        <v>11.714285714285715</v>
      </c>
      <c r="G16" t="s">
        <v>34</v>
      </c>
      <c r="I16" t="s">
        <v>14</v>
      </c>
      <c r="L16">
        <v>-11.714285714285715</v>
      </c>
    </row>
    <row r="17" spans="1:12" x14ac:dyDescent="0.35">
      <c r="A17">
        <v>15</v>
      </c>
      <c r="D17">
        <v>18</v>
      </c>
      <c r="E17">
        <v>5.7142857142857144</v>
      </c>
      <c r="F17">
        <v>23.714285714285715</v>
      </c>
      <c r="G17" t="s">
        <v>120</v>
      </c>
      <c r="J17" s="28">
        <v>46054</v>
      </c>
      <c r="K17">
        <v>39.75</v>
      </c>
      <c r="L17">
        <v>16.035714285714285</v>
      </c>
    </row>
    <row r="18" spans="1:12" x14ac:dyDescent="0.35">
      <c r="A18">
        <v>15</v>
      </c>
      <c r="D18">
        <v>8</v>
      </c>
      <c r="E18">
        <v>5.7142857142857144</v>
      </c>
      <c r="F18">
        <v>13.714285714285715</v>
      </c>
      <c r="G18" t="s">
        <v>76</v>
      </c>
      <c r="J18" s="28">
        <v>46054</v>
      </c>
      <c r="K18">
        <v>39.75</v>
      </c>
      <c r="L18">
        <v>26.035714285714285</v>
      </c>
    </row>
    <row r="19" spans="1:12" x14ac:dyDescent="0.35">
      <c r="A19">
        <v>15</v>
      </c>
      <c r="D19">
        <v>18</v>
      </c>
      <c r="E19">
        <v>5.7142857142857144</v>
      </c>
      <c r="F19">
        <v>23.714285714285715</v>
      </c>
      <c r="G19" t="s">
        <v>99</v>
      </c>
      <c r="J19" s="28">
        <v>46054</v>
      </c>
      <c r="K19">
        <v>39.75</v>
      </c>
      <c r="L19">
        <v>16.035714285714285</v>
      </c>
    </row>
    <row r="20" spans="1:12" x14ac:dyDescent="0.35">
      <c r="A20">
        <v>15</v>
      </c>
      <c r="D20">
        <v>18</v>
      </c>
      <c r="E20">
        <v>5.7142857142857144</v>
      </c>
      <c r="F20">
        <v>23.714285714285715</v>
      </c>
      <c r="G20" t="s">
        <v>99</v>
      </c>
      <c r="J20" s="28">
        <v>46054</v>
      </c>
      <c r="K20">
        <v>39.75</v>
      </c>
      <c r="L20">
        <v>16.035714285714285</v>
      </c>
    </row>
    <row r="21" spans="1:12" x14ac:dyDescent="0.35">
      <c r="A21">
        <v>15</v>
      </c>
      <c r="D21">
        <v>18</v>
      </c>
      <c r="E21">
        <v>5.7142857142857144</v>
      </c>
      <c r="F21">
        <v>23.714285714285715</v>
      </c>
      <c r="G21" t="s">
        <v>119</v>
      </c>
      <c r="J21" s="28">
        <v>46054</v>
      </c>
      <c r="K21">
        <v>39.75</v>
      </c>
      <c r="L21">
        <v>16.035714285714285</v>
      </c>
    </row>
    <row r="22" spans="1:12" x14ac:dyDescent="0.35">
      <c r="A22">
        <v>14</v>
      </c>
      <c r="D22">
        <v>6</v>
      </c>
      <c r="E22">
        <v>6.1178571428571429</v>
      </c>
      <c r="F22">
        <v>12.117857142857144</v>
      </c>
      <c r="G22" t="s">
        <v>112</v>
      </c>
      <c r="I22" t="s">
        <v>123</v>
      </c>
      <c r="J22" s="28">
        <v>46065</v>
      </c>
      <c r="K22">
        <v>29.1</v>
      </c>
      <c r="L22">
        <v>16.982142857142858</v>
      </c>
    </row>
    <row r="23" spans="1:12" x14ac:dyDescent="0.35">
      <c r="A23">
        <v>14</v>
      </c>
      <c r="D23">
        <v>6</v>
      </c>
      <c r="E23">
        <v>6.1178571428571429</v>
      </c>
      <c r="F23">
        <v>12.117857142857144</v>
      </c>
      <c r="G23" t="s">
        <v>112</v>
      </c>
      <c r="I23" t="s">
        <v>17</v>
      </c>
      <c r="J23" s="28">
        <v>46048</v>
      </c>
      <c r="K23">
        <v>31.66</v>
      </c>
      <c r="L23">
        <v>19.542142857142856</v>
      </c>
    </row>
    <row r="24" spans="1:12" x14ac:dyDescent="0.35">
      <c r="A24">
        <v>14</v>
      </c>
      <c r="D24">
        <v>6</v>
      </c>
      <c r="E24">
        <v>6.1178571428571429</v>
      </c>
      <c r="F24">
        <v>12.117857142857144</v>
      </c>
      <c r="G24" t="s">
        <v>116</v>
      </c>
      <c r="I24" t="s">
        <v>24</v>
      </c>
      <c r="L24">
        <v>-12.117857142857144</v>
      </c>
    </row>
    <row r="25" spans="1:12" x14ac:dyDescent="0.35">
      <c r="A25">
        <v>14</v>
      </c>
      <c r="D25">
        <v>6</v>
      </c>
      <c r="E25">
        <v>6.1178571428571429</v>
      </c>
      <c r="F25">
        <v>12.117857142857144</v>
      </c>
      <c r="G25" t="s">
        <v>116</v>
      </c>
      <c r="I25" t="s">
        <v>14</v>
      </c>
      <c r="L25">
        <v>-12.117857142857144</v>
      </c>
    </row>
    <row r="26" spans="1:12" x14ac:dyDescent="0.35">
      <c r="A26">
        <v>14</v>
      </c>
      <c r="D26">
        <v>6</v>
      </c>
      <c r="E26">
        <v>6.1178571428571429</v>
      </c>
      <c r="F26">
        <v>12.117857142857144</v>
      </c>
      <c r="G26" t="s">
        <v>116</v>
      </c>
      <c r="I26" t="s">
        <v>17</v>
      </c>
      <c r="L26">
        <v>-12.117857142857144</v>
      </c>
    </row>
    <row r="27" spans="1:12" x14ac:dyDescent="0.35">
      <c r="A27">
        <v>14</v>
      </c>
      <c r="D27">
        <v>6</v>
      </c>
      <c r="E27">
        <v>6.1178571428571429</v>
      </c>
      <c r="F27">
        <v>12.117857142857144</v>
      </c>
      <c r="G27" t="s">
        <v>76</v>
      </c>
      <c r="I27" t="s">
        <v>24</v>
      </c>
      <c r="L27">
        <v>-12.117857142857144</v>
      </c>
    </row>
    <row r="28" spans="1:12" x14ac:dyDescent="0.35">
      <c r="A28">
        <v>14</v>
      </c>
      <c r="D28">
        <v>6</v>
      </c>
      <c r="E28">
        <v>6.1178571428571429</v>
      </c>
      <c r="F28">
        <v>12.117857142857144</v>
      </c>
      <c r="G28" t="s">
        <v>76</v>
      </c>
      <c r="I28" t="s">
        <v>14</v>
      </c>
      <c r="J28" s="28">
        <v>46053</v>
      </c>
      <c r="K28">
        <v>31.66</v>
      </c>
      <c r="L28">
        <v>19.542142857142856</v>
      </c>
    </row>
    <row r="29" spans="1:12" x14ac:dyDescent="0.35">
      <c r="A29">
        <v>14</v>
      </c>
      <c r="D29">
        <v>6</v>
      </c>
      <c r="E29">
        <v>6.1178571428571429</v>
      </c>
      <c r="F29">
        <v>12.117857142857144</v>
      </c>
      <c r="G29" t="s">
        <v>76</v>
      </c>
      <c r="I29" t="s">
        <v>17</v>
      </c>
      <c r="L29">
        <v>-12.117857142857144</v>
      </c>
    </row>
    <row r="30" spans="1:12" x14ac:dyDescent="0.35">
      <c r="A30">
        <v>14</v>
      </c>
      <c r="D30">
        <v>6</v>
      </c>
      <c r="E30">
        <v>6.1178571428571429</v>
      </c>
      <c r="F30">
        <v>12.117857142857144</v>
      </c>
      <c r="G30" t="s">
        <v>53</v>
      </c>
      <c r="I30" t="s">
        <v>123</v>
      </c>
      <c r="J30" s="28">
        <v>46064</v>
      </c>
      <c r="K30">
        <v>34.92</v>
      </c>
      <c r="L30">
        <v>22.802142857142858</v>
      </c>
    </row>
    <row r="31" spans="1:12" x14ac:dyDescent="0.35">
      <c r="A31">
        <v>14</v>
      </c>
      <c r="D31">
        <v>6</v>
      </c>
      <c r="E31">
        <v>6.1178571428571429</v>
      </c>
      <c r="F31">
        <v>12.117857142857144</v>
      </c>
      <c r="G31" t="s">
        <v>53</v>
      </c>
      <c r="I31" t="s">
        <v>24</v>
      </c>
      <c r="J31" s="28">
        <v>46055</v>
      </c>
      <c r="K31">
        <v>0</v>
      </c>
      <c r="L31">
        <v>-12.117857142857144</v>
      </c>
    </row>
    <row r="32" spans="1:12" x14ac:dyDescent="0.35">
      <c r="A32">
        <v>14</v>
      </c>
      <c r="D32">
        <v>6</v>
      </c>
      <c r="E32">
        <v>6.1178571428571429</v>
      </c>
      <c r="F32">
        <v>12.117857142857144</v>
      </c>
      <c r="G32" t="s">
        <v>53</v>
      </c>
      <c r="I32" t="s">
        <v>14</v>
      </c>
      <c r="J32" s="28">
        <v>46054</v>
      </c>
      <c r="K32">
        <v>0</v>
      </c>
      <c r="L32">
        <v>-12.117857142857144</v>
      </c>
    </row>
    <row r="33" spans="1:12" x14ac:dyDescent="0.35">
      <c r="A33">
        <v>14</v>
      </c>
      <c r="D33">
        <v>6</v>
      </c>
      <c r="E33">
        <v>6.1178571428571429</v>
      </c>
      <c r="F33">
        <v>12.117857142857144</v>
      </c>
      <c r="G33" t="s">
        <v>53</v>
      </c>
      <c r="I33" t="s">
        <v>17</v>
      </c>
      <c r="J33" s="28">
        <v>46059</v>
      </c>
      <c r="K33">
        <v>31.49</v>
      </c>
      <c r="L33">
        <v>19.372142857142855</v>
      </c>
    </row>
    <row r="34" spans="1:12" x14ac:dyDescent="0.35">
      <c r="A34">
        <v>14</v>
      </c>
      <c r="D34">
        <v>8</v>
      </c>
      <c r="E34">
        <v>6.1178571428571429</v>
      </c>
      <c r="F34">
        <v>14.117857142857144</v>
      </c>
      <c r="G34" t="s">
        <v>34</v>
      </c>
      <c r="I34" t="s">
        <v>123</v>
      </c>
      <c r="L34">
        <v>-14.117857142857144</v>
      </c>
    </row>
    <row r="35" spans="1:12" x14ac:dyDescent="0.35">
      <c r="A35">
        <v>14</v>
      </c>
      <c r="D35">
        <v>8</v>
      </c>
      <c r="E35">
        <v>6.1178571428571429</v>
      </c>
      <c r="F35">
        <v>14.117857142857144</v>
      </c>
      <c r="G35" t="s">
        <v>34</v>
      </c>
      <c r="I35" t="s">
        <v>24</v>
      </c>
      <c r="L35">
        <v>-14.117857142857144</v>
      </c>
    </row>
    <row r="36" spans="1:12" x14ac:dyDescent="0.35">
      <c r="A36">
        <v>14</v>
      </c>
      <c r="D36">
        <v>8</v>
      </c>
      <c r="E36">
        <v>6.1178571428571429</v>
      </c>
      <c r="F36">
        <v>14.117857142857144</v>
      </c>
      <c r="G36" t="s">
        <v>34</v>
      </c>
      <c r="I36" t="s">
        <v>17</v>
      </c>
      <c r="L36">
        <v>-14.117857142857144</v>
      </c>
    </row>
    <row r="37" spans="1:12" x14ac:dyDescent="0.35">
      <c r="A37">
        <v>14</v>
      </c>
      <c r="D37">
        <v>8</v>
      </c>
      <c r="E37">
        <v>6.1178571428571429</v>
      </c>
      <c r="F37">
        <v>14.117857142857144</v>
      </c>
      <c r="G37" t="s">
        <v>114</v>
      </c>
      <c r="I37" t="s">
        <v>123</v>
      </c>
      <c r="J37" s="28">
        <v>46053</v>
      </c>
      <c r="K37">
        <v>31.58</v>
      </c>
      <c r="L37">
        <v>17.462142857142855</v>
      </c>
    </row>
    <row r="38" spans="1:12" x14ac:dyDescent="0.35">
      <c r="A38">
        <v>14</v>
      </c>
      <c r="D38">
        <v>8</v>
      </c>
      <c r="E38">
        <v>6.1178571428571429</v>
      </c>
      <c r="F38">
        <v>14.117857142857144</v>
      </c>
      <c r="G38" t="s">
        <v>114</v>
      </c>
      <c r="I38" t="s">
        <v>24</v>
      </c>
      <c r="J38" s="28">
        <v>46051</v>
      </c>
      <c r="K38">
        <v>27.59</v>
      </c>
      <c r="L38">
        <v>13.472142857142856</v>
      </c>
    </row>
    <row r="39" spans="1:12" x14ac:dyDescent="0.35">
      <c r="A39">
        <v>14</v>
      </c>
      <c r="D39">
        <v>8</v>
      </c>
      <c r="E39">
        <v>6.1178571428571429</v>
      </c>
      <c r="F39">
        <v>14.117857142857144</v>
      </c>
      <c r="G39" t="s">
        <v>114</v>
      </c>
      <c r="I39" t="s">
        <v>24</v>
      </c>
      <c r="J39" s="28">
        <v>46051</v>
      </c>
      <c r="K39">
        <v>27.59</v>
      </c>
      <c r="L39">
        <v>13.472142857142856</v>
      </c>
    </row>
    <row r="40" spans="1:12" x14ac:dyDescent="0.35">
      <c r="A40">
        <v>14</v>
      </c>
      <c r="D40">
        <v>8</v>
      </c>
      <c r="E40">
        <v>6.1178571428571429</v>
      </c>
      <c r="F40">
        <v>14.117857142857144</v>
      </c>
      <c r="G40" t="s">
        <v>114</v>
      </c>
      <c r="I40" t="s">
        <v>14</v>
      </c>
      <c r="J40" s="28">
        <v>46053</v>
      </c>
      <c r="K40">
        <v>28.63</v>
      </c>
      <c r="L40">
        <v>14.512142857142855</v>
      </c>
    </row>
    <row r="41" spans="1:12" x14ac:dyDescent="0.35">
      <c r="A41">
        <v>14</v>
      </c>
      <c r="D41">
        <v>8</v>
      </c>
      <c r="E41">
        <v>6.1178571428571429</v>
      </c>
      <c r="F41">
        <v>14.117857142857144</v>
      </c>
      <c r="G41" t="s">
        <v>114</v>
      </c>
      <c r="I41" t="s">
        <v>14</v>
      </c>
      <c r="J41" s="28">
        <v>46051</v>
      </c>
      <c r="K41">
        <v>27.59</v>
      </c>
      <c r="L41">
        <v>13.472142857142856</v>
      </c>
    </row>
    <row r="42" spans="1:12" x14ac:dyDescent="0.35">
      <c r="A42">
        <v>14</v>
      </c>
      <c r="D42">
        <v>8</v>
      </c>
      <c r="E42">
        <v>6.1178571428571429</v>
      </c>
      <c r="F42">
        <v>14.117857142857144</v>
      </c>
      <c r="G42" t="s">
        <v>114</v>
      </c>
      <c r="I42" t="s">
        <v>17</v>
      </c>
      <c r="J42" s="28">
        <v>46051</v>
      </c>
      <c r="K42">
        <v>27.59</v>
      </c>
      <c r="L42">
        <v>13.472142857142856</v>
      </c>
    </row>
    <row r="43" spans="1:12" x14ac:dyDescent="0.35">
      <c r="A43">
        <v>14</v>
      </c>
      <c r="D43">
        <v>8</v>
      </c>
      <c r="E43">
        <v>6.1178571428571429</v>
      </c>
      <c r="F43">
        <v>14.117857142857144</v>
      </c>
      <c r="G43" t="s">
        <v>31</v>
      </c>
      <c r="I43" t="s">
        <v>123</v>
      </c>
      <c r="L43">
        <v>-14.117857142857144</v>
      </c>
    </row>
    <row r="44" spans="1:12" x14ac:dyDescent="0.35">
      <c r="A44">
        <v>14</v>
      </c>
      <c r="D44">
        <v>8</v>
      </c>
      <c r="E44">
        <v>6.1178571428571429</v>
      </c>
      <c r="F44">
        <v>14.117857142857144</v>
      </c>
      <c r="G44" t="s">
        <v>31</v>
      </c>
      <c r="I44" t="s">
        <v>123</v>
      </c>
      <c r="L44">
        <v>-14.117857142857144</v>
      </c>
    </row>
    <row r="45" spans="1:12" x14ac:dyDescent="0.35">
      <c r="A45">
        <v>14</v>
      </c>
      <c r="D45">
        <v>8</v>
      </c>
      <c r="E45">
        <v>6.1178571428571429</v>
      </c>
      <c r="F45">
        <v>14.117857142857144</v>
      </c>
      <c r="G45" t="s">
        <v>31</v>
      </c>
      <c r="I45" t="s">
        <v>24</v>
      </c>
      <c r="L45">
        <v>-14.117857142857144</v>
      </c>
    </row>
    <row r="46" spans="1:12" x14ac:dyDescent="0.35">
      <c r="A46">
        <v>14</v>
      </c>
      <c r="D46">
        <v>8</v>
      </c>
      <c r="E46">
        <v>6.1178571428571429</v>
      </c>
      <c r="F46">
        <v>14.117857142857144</v>
      </c>
      <c r="G46" t="s">
        <v>31</v>
      </c>
      <c r="I46" t="s">
        <v>24</v>
      </c>
      <c r="L46">
        <v>-14.117857142857144</v>
      </c>
    </row>
    <row r="47" spans="1:12" x14ac:dyDescent="0.35">
      <c r="A47">
        <v>14</v>
      </c>
      <c r="D47">
        <v>8</v>
      </c>
      <c r="E47">
        <v>6.1178571428571429</v>
      </c>
      <c r="F47">
        <v>14.117857142857144</v>
      </c>
      <c r="G47" t="s">
        <v>31</v>
      </c>
      <c r="I47" t="s">
        <v>14</v>
      </c>
      <c r="J47" s="28">
        <v>46053</v>
      </c>
      <c r="K47">
        <v>28.63</v>
      </c>
      <c r="L47">
        <v>14.512142857142855</v>
      </c>
    </row>
    <row r="48" spans="1:12" x14ac:dyDescent="0.35">
      <c r="A48">
        <v>14</v>
      </c>
      <c r="D48">
        <v>8</v>
      </c>
      <c r="E48">
        <v>6.1178571428571429</v>
      </c>
      <c r="F48">
        <v>14.117857142857144</v>
      </c>
      <c r="G48" t="s">
        <v>31</v>
      </c>
      <c r="I48" t="s">
        <v>14</v>
      </c>
      <c r="J48" s="28">
        <v>46049</v>
      </c>
      <c r="K48">
        <v>29.04</v>
      </c>
      <c r="L48">
        <v>14.922142857142855</v>
      </c>
    </row>
    <row r="49" spans="1:12" x14ac:dyDescent="0.35">
      <c r="A49">
        <v>14</v>
      </c>
      <c r="D49">
        <v>8</v>
      </c>
      <c r="E49">
        <v>6.1178571428571429</v>
      </c>
      <c r="F49">
        <v>14.117857142857144</v>
      </c>
      <c r="G49" t="s">
        <v>31</v>
      </c>
      <c r="I49" t="s">
        <v>17</v>
      </c>
      <c r="J49" s="28">
        <v>46059</v>
      </c>
      <c r="K49">
        <v>31.82</v>
      </c>
      <c r="L49">
        <v>17.702142857142857</v>
      </c>
    </row>
    <row r="50" spans="1:12" x14ac:dyDescent="0.35">
      <c r="A50">
        <v>13</v>
      </c>
      <c r="D50">
        <v>8</v>
      </c>
      <c r="E50">
        <v>5.4615384615384617</v>
      </c>
      <c r="F50">
        <v>13.461538461538462</v>
      </c>
      <c r="G50" t="s">
        <v>34</v>
      </c>
      <c r="I50" t="s">
        <v>24</v>
      </c>
      <c r="L50">
        <v>-13.461538461538462</v>
      </c>
    </row>
    <row r="51" spans="1:12" x14ac:dyDescent="0.35">
      <c r="A51">
        <v>4</v>
      </c>
      <c r="F51">
        <v>15.83</v>
      </c>
      <c r="G51" t="s">
        <v>68</v>
      </c>
      <c r="H51" t="s">
        <v>13</v>
      </c>
      <c r="I51" t="s">
        <v>25</v>
      </c>
      <c r="J51" s="28">
        <v>45943</v>
      </c>
      <c r="K51">
        <v>37.909999999999997</v>
      </c>
      <c r="L51">
        <v>22.08</v>
      </c>
    </row>
    <row r="52" spans="1:12" x14ac:dyDescent="0.35">
      <c r="A52">
        <v>13</v>
      </c>
      <c r="D52">
        <v>8</v>
      </c>
      <c r="E52">
        <v>5.4615384615384617</v>
      </c>
      <c r="F52">
        <v>13.461538461538462</v>
      </c>
      <c r="G52" t="s">
        <v>34</v>
      </c>
      <c r="I52" t="s">
        <v>14</v>
      </c>
      <c r="J52" s="28">
        <v>46036</v>
      </c>
      <c r="K52">
        <v>34.07</v>
      </c>
      <c r="L52">
        <v>20.60846153846154</v>
      </c>
    </row>
    <row r="53" spans="1:12" x14ac:dyDescent="0.35">
      <c r="A53">
        <v>13</v>
      </c>
      <c r="D53">
        <v>8</v>
      </c>
      <c r="E53">
        <v>5.4615384615384617</v>
      </c>
      <c r="F53">
        <v>13.461538461538462</v>
      </c>
      <c r="G53" t="s">
        <v>34</v>
      </c>
      <c r="I53" t="s">
        <v>14</v>
      </c>
      <c r="J53" s="28">
        <v>46036</v>
      </c>
      <c r="K53">
        <v>34.07</v>
      </c>
      <c r="L53">
        <v>20.60846153846154</v>
      </c>
    </row>
    <row r="54" spans="1:12" x14ac:dyDescent="0.35">
      <c r="A54">
        <v>13</v>
      </c>
      <c r="D54">
        <v>8</v>
      </c>
      <c r="E54">
        <v>5.4615384615384617</v>
      </c>
      <c r="F54">
        <v>13.461538461538462</v>
      </c>
      <c r="G54" t="s">
        <v>34</v>
      </c>
      <c r="I54" t="s">
        <v>17</v>
      </c>
      <c r="L54">
        <v>-13.461538461538462</v>
      </c>
    </row>
    <row r="55" spans="1:12" x14ac:dyDescent="0.35">
      <c r="A55">
        <v>13</v>
      </c>
      <c r="D55">
        <v>12</v>
      </c>
      <c r="E55">
        <v>5.4615384615384617</v>
      </c>
      <c r="F55">
        <v>17.46153846153846</v>
      </c>
      <c r="G55" t="s">
        <v>118</v>
      </c>
      <c r="I55" t="s">
        <v>25</v>
      </c>
      <c r="J55" s="28">
        <v>46030</v>
      </c>
      <c r="K55">
        <v>38.92</v>
      </c>
      <c r="L55">
        <v>21.458461538461542</v>
      </c>
    </row>
    <row r="56" spans="1:12" x14ac:dyDescent="0.35">
      <c r="A56">
        <v>13</v>
      </c>
      <c r="D56">
        <v>14</v>
      </c>
      <c r="E56">
        <v>5.4615384615384617</v>
      </c>
      <c r="F56">
        <v>19.46153846153846</v>
      </c>
      <c r="G56" t="s">
        <v>111</v>
      </c>
      <c r="I56" t="s">
        <v>14</v>
      </c>
      <c r="J56" s="28">
        <v>46030</v>
      </c>
      <c r="K56">
        <v>38.92</v>
      </c>
      <c r="L56">
        <v>19.458461538461542</v>
      </c>
    </row>
    <row r="57" spans="1:12" x14ac:dyDescent="0.35">
      <c r="A57">
        <v>13</v>
      </c>
      <c r="D57">
        <v>10</v>
      </c>
      <c r="E57">
        <v>5.4615384615384617</v>
      </c>
      <c r="F57">
        <v>15.461538461538462</v>
      </c>
      <c r="G57" t="s">
        <v>49</v>
      </c>
      <c r="I57" t="s">
        <v>17</v>
      </c>
      <c r="J57" s="28">
        <v>46030</v>
      </c>
      <c r="K57">
        <v>36.130000000000003</v>
      </c>
      <c r="L57">
        <v>20.668461538461543</v>
      </c>
    </row>
    <row r="58" spans="1:12" x14ac:dyDescent="0.35">
      <c r="A58">
        <v>13</v>
      </c>
      <c r="D58">
        <v>6</v>
      </c>
      <c r="E58">
        <v>5.4615384615384617</v>
      </c>
      <c r="F58">
        <v>11.461538461538462</v>
      </c>
      <c r="G58" t="s">
        <v>117</v>
      </c>
      <c r="I58" t="s">
        <v>14</v>
      </c>
      <c r="J58" s="28">
        <v>46030</v>
      </c>
      <c r="K58">
        <v>33.35</v>
      </c>
      <c r="L58">
        <v>21.888461538461542</v>
      </c>
    </row>
    <row r="59" spans="1:12" x14ac:dyDescent="0.35">
      <c r="A59">
        <v>13</v>
      </c>
      <c r="D59">
        <v>8</v>
      </c>
      <c r="E59">
        <v>5.4615384615384617</v>
      </c>
      <c r="F59">
        <v>13.461538461538462</v>
      </c>
      <c r="G59" t="s">
        <v>112</v>
      </c>
      <c r="I59" t="s">
        <v>24</v>
      </c>
      <c r="J59" s="28">
        <v>46044</v>
      </c>
      <c r="K59">
        <v>26.13</v>
      </c>
      <c r="L59">
        <v>12.668461538461537</v>
      </c>
    </row>
    <row r="60" spans="1:12" x14ac:dyDescent="0.35">
      <c r="A60">
        <v>13</v>
      </c>
      <c r="D60">
        <v>8</v>
      </c>
      <c r="E60">
        <v>5.4615384615384617</v>
      </c>
      <c r="F60">
        <v>13.461538461538462</v>
      </c>
      <c r="G60" t="s">
        <v>112</v>
      </c>
      <c r="I60" t="s">
        <v>14</v>
      </c>
      <c r="J60" s="28">
        <v>46044</v>
      </c>
      <c r="K60">
        <v>26.13</v>
      </c>
      <c r="L60">
        <v>12.668461538461537</v>
      </c>
    </row>
    <row r="61" spans="1:12" x14ac:dyDescent="0.35">
      <c r="A61">
        <v>13</v>
      </c>
      <c r="D61">
        <v>8</v>
      </c>
      <c r="E61">
        <v>5.4615384615384617</v>
      </c>
      <c r="F61">
        <v>13.461538461538462</v>
      </c>
      <c r="G61" t="s">
        <v>112</v>
      </c>
      <c r="I61" t="s">
        <v>17</v>
      </c>
      <c r="J61" s="28">
        <v>46030</v>
      </c>
      <c r="K61">
        <v>36.130000000000003</v>
      </c>
      <c r="L61">
        <v>22.668461538461543</v>
      </c>
    </row>
    <row r="62" spans="1:12" x14ac:dyDescent="0.35">
      <c r="A62">
        <v>13</v>
      </c>
      <c r="D62">
        <v>14</v>
      </c>
      <c r="E62">
        <v>5.4615384615384617</v>
      </c>
      <c r="F62">
        <v>19.46153846153846</v>
      </c>
      <c r="G62" t="s">
        <v>70</v>
      </c>
      <c r="I62" t="s">
        <v>25</v>
      </c>
      <c r="J62" s="28">
        <v>46030</v>
      </c>
      <c r="K62">
        <v>38.92</v>
      </c>
      <c r="L62">
        <v>19.458461538461542</v>
      </c>
    </row>
    <row r="63" spans="1:12" x14ac:dyDescent="0.35">
      <c r="A63">
        <v>13</v>
      </c>
      <c r="D63">
        <v>8</v>
      </c>
      <c r="E63">
        <v>5.4615384615384617</v>
      </c>
      <c r="F63">
        <v>13.461538461538462</v>
      </c>
      <c r="G63" t="s">
        <v>116</v>
      </c>
      <c r="I63" t="s">
        <v>14</v>
      </c>
      <c r="J63" s="28">
        <v>46030</v>
      </c>
      <c r="K63">
        <v>38.92</v>
      </c>
      <c r="L63">
        <v>25.458461538461542</v>
      </c>
    </row>
    <row r="64" spans="1:12" x14ac:dyDescent="0.35">
      <c r="A64">
        <v>7</v>
      </c>
      <c r="F64">
        <v>0</v>
      </c>
      <c r="G64" t="s">
        <v>30</v>
      </c>
      <c r="I64" t="s">
        <v>14</v>
      </c>
      <c r="J64" s="28">
        <v>45921</v>
      </c>
      <c r="K64">
        <v>26.97</v>
      </c>
      <c r="L64">
        <v>26.97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4B51-14BB-4EFE-9A24-DCD15877F754}">
  <dimension ref="A1:L24"/>
  <sheetViews>
    <sheetView zoomScale="66" workbookViewId="0">
      <selection activeCell="L15" sqref="L15"/>
    </sheetView>
  </sheetViews>
  <sheetFormatPr baseColWidth="10" defaultRowHeight="14.5" x14ac:dyDescent="0.35"/>
  <cols>
    <col min="1" max="1" width="11" bestFit="1" customWidth="1"/>
    <col min="2" max="2" width="17.36328125" bestFit="1" customWidth="1"/>
    <col min="3" max="3" width="14.6328125" bestFit="1" customWidth="1"/>
    <col min="4" max="4" width="11" bestFit="1" customWidth="1"/>
    <col min="5" max="5" width="16" bestFit="1" customWidth="1"/>
    <col min="6" max="6" width="12.81640625" bestFit="1" customWidth="1"/>
    <col min="7" max="7" width="25.54296875" bestFit="1" customWidth="1"/>
    <col min="8" max="9" width="11" bestFit="1" customWidth="1"/>
    <col min="10" max="10" width="15.6328125" bestFit="1" customWidth="1"/>
    <col min="11" max="11" width="11" bestFit="1" customWidth="1"/>
    <col min="12" max="12" width="11.08984375" bestFit="1" customWidth="1"/>
  </cols>
  <sheetData>
    <row r="1" spans="1:12" x14ac:dyDescent="0.35">
      <c r="A1" s="63" t="s">
        <v>150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>
        <v>17</v>
      </c>
      <c r="B4" s="28">
        <v>46058</v>
      </c>
      <c r="F4">
        <v>11.19</v>
      </c>
      <c r="G4" t="s">
        <v>128</v>
      </c>
      <c r="I4" t="s">
        <v>14</v>
      </c>
      <c r="J4" s="28">
        <v>46054</v>
      </c>
      <c r="K4">
        <v>34.81</v>
      </c>
      <c r="L4">
        <v>23.620000000000005</v>
      </c>
    </row>
    <row r="5" spans="1:12" x14ac:dyDescent="0.35">
      <c r="A5">
        <v>17</v>
      </c>
      <c r="B5" s="28">
        <v>46058</v>
      </c>
      <c r="F5">
        <v>11.19</v>
      </c>
      <c r="G5" t="s">
        <v>127</v>
      </c>
      <c r="I5" t="s">
        <v>14</v>
      </c>
      <c r="J5" s="28">
        <v>46054</v>
      </c>
      <c r="K5">
        <v>29.01</v>
      </c>
      <c r="L5">
        <v>17.82</v>
      </c>
    </row>
    <row r="6" spans="1:12" x14ac:dyDescent="0.35">
      <c r="A6">
        <v>16</v>
      </c>
      <c r="B6" s="28">
        <v>46053</v>
      </c>
      <c r="F6">
        <v>11.19</v>
      </c>
      <c r="G6" t="s">
        <v>112</v>
      </c>
      <c r="I6" t="s">
        <v>14</v>
      </c>
      <c r="J6" s="28">
        <v>46059</v>
      </c>
      <c r="K6">
        <v>31.66</v>
      </c>
      <c r="L6">
        <v>20.47</v>
      </c>
    </row>
    <row r="7" spans="1:12" x14ac:dyDescent="0.35">
      <c r="A7">
        <v>16</v>
      </c>
      <c r="B7" s="28">
        <v>46053</v>
      </c>
      <c r="F7">
        <v>11.19</v>
      </c>
      <c r="G7" t="s">
        <v>112</v>
      </c>
      <c r="I7" t="s">
        <v>17</v>
      </c>
      <c r="J7" s="28">
        <v>46058</v>
      </c>
      <c r="K7">
        <v>31.66</v>
      </c>
      <c r="L7">
        <v>20.47</v>
      </c>
    </row>
    <row r="8" spans="1:12" x14ac:dyDescent="0.35">
      <c r="A8">
        <v>15</v>
      </c>
      <c r="B8" s="28">
        <v>46040</v>
      </c>
      <c r="D8">
        <v>12</v>
      </c>
      <c r="E8">
        <v>5.7142857142857144</v>
      </c>
      <c r="F8">
        <v>17.714285714285715</v>
      </c>
      <c r="G8" t="s">
        <v>122</v>
      </c>
      <c r="J8" s="28">
        <v>46054</v>
      </c>
      <c r="K8">
        <v>39.75</v>
      </c>
      <c r="L8">
        <v>22.035714285714285</v>
      </c>
    </row>
    <row r="9" spans="1:12" x14ac:dyDescent="0.35">
      <c r="A9">
        <v>15</v>
      </c>
      <c r="B9" s="28">
        <v>46040</v>
      </c>
      <c r="D9">
        <v>11</v>
      </c>
      <c r="E9">
        <v>5.7142857142857144</v>
      </c>
      <c r="F9">
        <v>16.714285714285715</v>
      </c>
      <c r="G9" t="s">
        <v>121</v>
      </c>
      <c r="J9" s="28">
        <v>46054</v>
      </c>
      <c r="K9">
        <v>39.75</v>
      </c>
      <c r="L9">
        <v>23.035714285714285</v>
      </c>
    </row>
    <row r="10" spans="1:12" x14ac:dyDescent="0.35">
      <c r="A10">
        <v>15</v>
      </c>
      <c r="B10" s="28">
        <v>46040</v>
      </c>
      <c r="D10">
        <v>8</v>
      </c>
      <c r="E10">
        <v>5.7142857142857144</v>
      </c>
      <c r="F10">
        <v>13.714285714285715</v>
      </c>
      <c r="G10" t="s">
        <v>76</v>
      </c>
      <c r="I10" t="s">
        <v>14</v>
      </c>
      <c r="J10" s="28">
        <v>46054</v>
      </c>
      <c r="K10">
        <v>39.75</v>
      </c>
      <c r="L10">
        <v>26.035714285714285</v>
      </c>
    </row>
    <row r="11" spans="1:12" x14ac:dyDescent="0.35">
      <c r="A11">
        <v>15</v>
      </c>
      <c r="B11" s="28">
        <v>46040</v>
      </c>
      <c r="D11">
        <v>18</v>
      </c>
      <c r="E11">
        <v>5.7142857142857144</v>
      </c>
      <c r="F11">
        <v>23.714285714285715</v>
      </c>
      <c r="G11" t="s">
        <v>99</v>
      </c>
      <c r="J11" s="28">
        <v>46054</v>
      </c>
      <c r="K11">
        <v>39.75</v>
      </c>
      <c r="L11">
        <v>16.035714285714285</v>
      </c>
    </row>
    <row r="12" spans="1:12" x14ac:dyDescent="0.35">
      <c r="A12">
        <v>15</v>
      </c>
      <c r="B12" s="28">
        <v>46040</v>
      </c>
      <c r="D12">
        <v>18</v>
      </c>
      <c r="E12">
        <v>5.7142857142857144</v>
      </c>
      <c r="F12">
        <v>23.714285714285715</v>
      </c>
      <c r="G12" t="s">
        <v>99</v>
      </c>
      <c r="J12" s="28">
        <v>46054</v>
      </c>
      <c r="K12">
        <v>39.75</v>
      </c>
      <c r="L12">
        <v>16.035714285714285</v>
      </c>
    </row>
    <row r="13" spans="1:12" x14ac:dyDescent="0.35">
      <c r="A13">
        <v>15</v>
      </c>
      <c r="B13" s="28">
        <v>46040</v>
      </c>
      <c r="D13">
        <v>18</v>
      </c>
      <c r="E13">
        <v>5.7142857142857144</v>
      </c>
      <c r="F13">
        <v>23.714285714285715</v>
      </c>
      <c r="G13" t="s">
        <v>119</v>
      </c>
      <c r="J13" s="28">
        <v>46054</v>
      </c>
      <c r="K13">
        <v>39.75</v>
      </c>
      <c r="L13">
        <v>16.035714285714285</v>
      </c>
    </row>
    <row r="14" spans="1:12" x14ac:dyDescent="0.35">
      <c r="A14">
        <v>14</v>
      </c>
      <c r="B14" s="28">
        <v>46022</v>
      </c>
      <c r="D14">
        <v>6</v>
      </c>
      <c r="E14">
        <v>6.1178571428571429</v>
      </c>
      <c r="F14">
        <v>12.117857142857144</v>
      </c>
      <c r="G14" t="s">
        <v>112</v>
      </c>
      <c r="I14" t="s">
        <v>123</v>
      </c>
      <c r="J14" s="28">
        <v>46065</v>
      </c>
      <c r="K14">
        <v>29.1</v>
      </c>
      <c r="L14">
        <v>16.982142857142858</v>
      </c>
    </row>
    <row r="15" spans="1:12" x14ac:dyDescent="0.35">
      <c r="A15">
        <v>14</v>
      </c>
      <c r="B15" s="28">
        <v>46022</v>
      </c>
      <c r="D15">
        <v>6</v>
      </c>
      <c r="E15">
        <v>6.1178571428571429</v>
      </c>
      <c r="F15">
        <v>12.117857142857144</v>
      </c>
      <c r="G15" t="s">
        <v>76</v>
      </c>
      <c r="I15" t="s">
        <v>24</v>
      </c>
      <c r="J15" s="28">
        <v>46071</v>
      </c>
      <c r="K15">
        <v>39.75</v>
      </c>
      <c r="L15">
        <v>27.632142857142856</v>
      </c>
    </row>
    <row r="16" spans="1:12" x14ac:dyDescent="0.35">
      <c r="A16">
        <v>14</v>
      </c>
      <c r="B16" s="28">
        <v>46022</v>
      </c>
      <c r="D16">
        <v>6</v>
      </c>
      <c r="E16">
        <v>6.1178571428571429</v>
      </c>
      <c r="F16">
        <v>12.117857142857144</v>
      </c>
      <c r="G16" t="s">
        <v>76</v>
      </c>
      <c r="I16" t="s">
        <v>17</v>
      </c>
      <c r="J16" s="28">
        <v>46066</v>
      </c>
      <c r="K16">
        <v>29.18</v>
      </c>
      <c r="L16">
        <v>-12.117857142857144</v>
      </c>
    </row>
    <row r="17" spans="1:12" x14ac:dyDescent="0.35">
      <c r="A17">
        <v>14</v>
      </c>
      <c r="B17" s="28">
        <v>46022</v>
      </c>
      <c r="D17">
        <v>6</v>
      </c>
      <c r="E17">
        <v>6.1178571428571429</v>
      </c>
      <c r="F17">
        <v>12.117857142857144</v>
      </c>
      <c r="G17" t="s">
        <v>53</v>
      </c>
      <c r="I17" t="s">
        <v>123</v>
      </c>
      <c r="J17" s="28">
        <v>46064</v>
      </c>
      <c r="K17">
        <v>34.92</v>
      </c>
      <c r="L17">
        <v>22.802142857142858</v>
      </c>
    </row>
    <row r="18" spans="1:12" x14ac:dyDescent="0.35">
      <c r="A18">
        <v>14</v>
      </c>
      <c r="B18" s="28">
        <v>46022</v>
      </c>
      <c r="D18">
        <v>6</v>
      </c>
      <c r="E18">
        <v>6.1178571428571429</v>
      </c>
      <c r="F18">
        <v>12.117857142857144</v>
      </c>
      <c r="G18" t="s">
        <v>53</v>
      </c>
      <c r="I18" t="s">
        <v>24</v>
      </c>
      <c r="J18" s="28">
        <v>46055</v>
      </c>
      <c r="K18">
        <v>0</v>
      </c>
      <c r="L18">
        <v>-12.117857142857144</v>
      </c>
    </row>
    <row r="19" spans="1:12" x14ac:dyDescent="0.35">
      <c r="A19">
        <v>14</v>
      </c>
      <c r="B19" s="28">
        <v>46022</v>
      </c>
      <c r="D19">
        <v>6</v>
      </c>
      <c r="E19">
        <v>6.1178571428571429</v>
      </c>
      <c r="F19">
        <v>12.117857142857144</v>
      </c>
      <c r="G19" t="s">
        <v>53</v>
      </c>
      <c r="I19" t="s">
        <v>14</v>
      </c>
      <c r="J19" s="28">
        <v>46054</v>
      </c>
      <c r="K19">
        <v>0</v>
      </c>
      <c r="L19">
        <v>-12.117857142857144</v>
      </c>
    </row>
    <row r="20" spans="1:12" x14ac:dyDescent="0.35">
      <c r="A20">
        <v>14</v>
      </c>
      <c r="B20" s="28">
        <v>46022</v>
      </c>
      <c r="D20">
        <v>6</v>
      </c>
      <c r="E20">
        <v>6.1178571428571429</v>
      </c>
      <c r="F20">
        <v>12.117857142857144</v>
      </c>
      <c r="G20" t="s">
        <v>53</v>
      </c>
      <c r="I20" t="s">
        <v>17</v>
      </c>
      <c r="J20" s="28">
        <v>46059</v>
      </c>
      <c r="K20">
        <v>31.49</v>
      </c>
      <c r="L20">
        <v>19.372142857142855</v>
      </c>
    </row>
    <row r="21" spans="1:12" x14ac:dyDescent="0.35">
      <c r="A21">
        <v>14</v>
      </c>
      <c r="B21" s="28">
        <v>46022</v>
      </c>
      <c r="D21">
        <v>8</v>
      </c>
      <c r="E21">
        <v>6.1178571428571429</v>
      </c>
      <c r="F21">
        <v>14.117857142857144</v>
      </c>
      <c r="G21" t="s">
        <v>31</v>
      </c>
      <c r="I21" t="s">
        <v>123</v>
      </c>
      <c r="J21" s="28">
        <v>46072</v>
      </c>
      <c r="K21">
        <v>32.1</v>
      </c>
      <c r="L21">
        <v>17.982142857142858</v>
      </c>
    </row>
    <row r="22" spans="1:12" x14ac:dyDescent="0.35">
      <c r="A22">
        <v>14</v>
      </c>
      <c r="B22" s="28">
        <v>46022</v>
      </c>
      <c r="D22">
        <v>8</v>
      </c>
      <c r="E22">
        <v>6.1178571428571429</v>
      </c>
      <c r="F22">
        <v>14.117857142857144</v>
      </c>
      <c r="G22" t="s">
        <v>31</v>
      </c>
      <c r="I22" t="s">
        <v>123</v>
      </c>
      <c r="J22" s="28">
        <v>46074</v>
      </c>
      <c r="K22">
        <v>32.1</v>
      </c>
      <c r="L22">
        <v>17.982142857142858</v>
      </c>
    </row>
    <row r="23" spans="1:12" x14ac:dyDescent="0.35">
      <c r="A23">
        <v>14</v>
      </c>
      <c r="B23" s="28">
        <v>46022</v>
      </c>
      <c r="D23">
        <v>8</v>
      </c>
      <c r="E23">
        <v>6.1178571428571429</v>
      </c>
      <c r="F23">
        <v>14.117857142857144</v>
      </c>
      <c r="G23" t="s">
        <v>31</v>
      </c>
      <c r="I23" t="s">
        <v>24</v>
      </c>
      <c r="J23" s="28">
        <v>46074</v>
      </c>
      <c r="K23">
        <v>32.1</v>
      </c>
      <c r="L23">
        <v>17.982142857142858</v>
      </c>
    </row>
    <row r="24" spans="1:12" x14ac:dyDescent="0.35">
      <c r="A24">
        <v>14</v>
      </c>
      <c r="B24" s="28">
        <v>46022</v>
      </c>
      <c r="D24">
        <v>8</v>
      </c>
      <c r="E24">
        <v>6.1178571428571429</v>
      </c>
      <c r="F24">
        <v>14.117857142857144</v>
      </c>
      <c r="G24" t="s">
        <v>31</v>
      </c>
      <c r="I24" t="s">
        <v>17</v>
      </c>
      <c r="J24" s="28">
        <v>46059</v>
      </c>
      <c r="K24">
        <v>31.82</v>
      </c>
      <c r="L24">
        <v>17.702142857142857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8578-9607-4204-B30F-F3D131155A1E}">
  <dimension ref="A3:N296"/>
  <sheetViews>
    <sheetView tabSelected="1" zoomScaleNormal="100" workbookViewId="0">
      <selection activeCell="A30" sqref="A30"/>
      <pivotSelection pane="bottomRight" showHeader="1" activeRow="29" previousRow="29" click="10" r:id="rId3">
        <pivotArea type="origin" dataOnly="0" labelOnly="1" outline="0" fieldPosition="0"/>
      </pivotSelection>
    </sheetView>
  </sheetViews>
  <sheetFormatPr baseColWidth="10" defaultRowHeight="14.5" x14ac:dyDescent="0.35"/>
  <cols>
    <col min="1" max="1" width="48.26953125" bestFit="1" customWidth="1"/>
    <col min="2" max="2" width="28.6328125" bestFit="1" customWidth="1"/>
    <col min="3" max="3" width="5.7265625" bestFit="1" customWidth="1"/>
    <col min="4" max="4" width="5.54296875" bestFit="1" customWidth="1"/>
    <col min="5" max="5" width="4.7265625" bestFit="1" customWidth="1"/>
    <col min="6" max="7" width="6" bestFit="1" customWidth="1"/>
    <col min="8" max="8" width="5.54296875" bestFit="1" customWidth="1"/>
    <col min="9" max="9" width="6" bestFit="1" customWidth="1"/>
    <col min="10" max="10" width="15.90625" bestFit="1" customWidth="1"/>
    <col min="11" max="11" width="11.453125" bestFit="1" customWidth="1"/>
    <col min="12" max="79" width="10.26953125" bestFit="1" customWidth="1"/>
    <col min="80" max="80" width="11.453125" bestFit="1" customWidth="1"/>
  </cols>
  <sheetData>
    <row r="3" spans="1:11" x14ac:dyDescent="0.35">
      <c r="A3" s="61" t="s">
        <v>124</v>
      </c>
      <c r="B3" t="s">
        <v>144</v>
      </c>
      <c r="C3" t="s">
        <v>143</v>
      </c>
      <c r="D3" t="s">
        <v>61</v>
      </c>
      <c r="E3" t="s">
        <v>142</v>
      </c>
      <c r="I3" s="68" t="s">
        <v>147</v>
      </c>
      <c r="J3" s="68"/>
      <c r="K3" s="68"/>
    </row>
    <row r="4" spans="1:11" x14ac:dyDescent="0.35">
      <c r="A4" s="62" t="s">
        <v>130</v>
      </c>
      <c r="B4">
        <v>392.01236263736257</v>
      </c>
      <c r="C4">
        <v>17.044015766841852</v>
      </c>
      <c r="D4">
        <v>721.3900000000001</v>
      </c>
      <c r="E4">
        <v>23</v>
      </c>
      <c r="I4" s="67">
        <f>AVERAGE(B4:B11)</f>
        <v>341.64154532967029</v>
      </c>
      <c r="J4" s="67"/>
      <c r="K4" s="67"/>
    </row>
    <row r="5" spans="1:11" x14ac:dyDescent="0.35">
      <c r="A5" s="62" t="s">
        <v>131</v>
      </c>
      <c r="B5">
        <v>404.35</v>
      </c>
      <c r="C5">
        <v>16.847916666666666</v>
      </c>
      <c r="D5">
        <v>753.93</v>
      </c>
      <c r="E5">
        <v>24</v>
      </c>
      <c r="I5" s="67"/>
      <c r="J5" s="67"/>
      <c r="K5" s="67"/>
    </row>
    <row r="6" spans="1:11" x14ac:dyDescent="0.35">
      <c r="A6" s="62" t="s">
        <v>132</v>
      </c>
      <c r="B6">
        <v>200.17000000000002</v>
      </c>
      <c r="C6">
        <v>20.017000000000003</v>
      </c>
      <c r="D6">
        <v>364.67</v>
      </c>
      <c r="E6">
        <v>10</v>
      </c>
    </row>
    <row r="7" spans="1:11" x14ac:dyDescent="0.35">
      <c r="A7" s="62" t="s">
        <v>133</v>
      </c>
      <c r="B7">
        <v>226.75</v>
      </c>
      <c r="C7">
        <v>14.171875</v>
      </c>
      <c r="D7">
        <v>471.85000000000008</v>
      </c>
      <c r="E7">
        <v>16</v>
      </c>
    </row>
    <row r="8" spans="1:11" x14ac:dyDescent="0.35">
      <c r="A8" s="62" t="s">
        <v>134</v>
      </c>
      <c r="B8">
        <v>456.92000000000007</v>
      </c>
      <c r="C8">
        <v>16.318571428571431</v>
      </c>
      <c r="D8">
        <v>861.04</v>
      </c>
      <c r="E8">
        <v>28</v>
      </c>
    </row>
    <row r="9" spans="1:11" x14ac:dyDescent="0.35">
      <c r="A9" s="62" t="s">
        <v>135</v>
      </c>
      <c r="B9">
        <v>515.74999999999989</v>
      </c>
      <c r="C9">
        <v>16.117187499999996</v>
      </c>
      <c r="D9">
        <v>1001.2199999999998</v>
      </c>
      <c r="E9">
        <v>32</v>
      </c>
      <c r="I9" s="68" t="s">
        <v>148</v>
      </c>
      <c r="J9" s="68"/>
      <c r="K9" s="68"/>
    </row>
    <row r="10" spans="1:11" x14ac:dyDescent="0.35">
      <c r="A10" s="62" t="s">
        <v>136</v>
      </c>
      <c r="B10">
        <v>432.80999999999995</v>
      </c>
      <c r="C10">
        <v>16.646538461538459</v>
      </c>
      <c r="D10">
        <v>863.08000000000015</v>
      </c>
      <c r="E10">
        <v>26</v>
      </c>
      <c r="I10" s="67">
        <f>GETPIVOTDATA("Total venta",$A$3)-GETPIVOTDATA("Total Ganancia por mes",$A$3)</f>
        <v>2504.7376373626371</v>
      </c>
      <c r="J10" s="67"/>
      <c r="K10" s="67"/>
    </row>
    <row r="11" spans="1:11" x14ac:dyDescent="0.35">
      <c r="A11" s="62" t="s">
        <v>137</v>
      </c>
      <c r="B11">
        <v>104.37</v>
      </c>
      <c r="C11">
        <v>14.91</v>
      </c>
      <c r="D11">
        <v>200.69</v>
      </c>
      <c r="E11">
        <v>7</v>
      </c>
      <c r="I11" s="67"/>
      <c r="J11" s="67"/>
      <c r="K11" s="67"/>
    </row>
    <row r="12" spans="1:11" x14ac:dyDescent="0.35">
      <c r="A12" s="62" t="s">
        <v>125</v>
      </c>
      <c r="B12">
        <v>2733.1323626373619</v>
      </c>
      <c r="C12">
        <v>16.46465278697206</v>
      </c>
      <c r="D12">
        <v>5237.869999999999</v>
      </c>
      <c r="E12">
        <v>166</v>
      </c>
    </row>
    <row r="14" spans="1:11" x14ac:dyDescent="0.35">
      <c r="I14" s="68" t="s">
        <v>151</v>
      </c>
      <c r="J14" s="68"/>
      <c r="K14" s="68"/>
    </row>
    <row r="15" spans="1:11" x14ac:dyDescent="0.35">
      <c r="I15" s="71">
        <f>SUMIF('Tabla jerseys'!K2:K192, "", 'Tabla jerseys'!F2:F192)</f>
        <v>336.41807692307691</v>
      </c>
      <c r="J15" s="71"/>
      <c r="K15" s="71"/>
    </row>
    <row r="16" spans="1:11" x14ac:dyDescent="0.35">
      <c r="A16" s="61" t="s">
        <v>124</v>
      </c>
      <c r="B16" t="s">
        <v>146</v>
      </c>
      <c r="C16" t="s">
        <v>145</v>
      </c>
      <c r="I16" s="71"/>
      <c r="J16" s="71"/>
      <c r="K16" s="71"/>
    </row>
    <row r="17" spans="1:14" x14ac:dyDescent="0.35">
      <c r="A17" s="62" t="s">
        <v>130</v>
      </c>
      <c r="B17">
        <v>239.66571428571436</v>
      </c>
      <c r="C17">
        <v>15</v>
      </c>
      <c r="I17" s="71"/>
      <c r="J17" s="71"/>
      <c r="K17" s="71"/>
    </row>
    <row r="18" spans="1:14" ht="23.5" x14ac:dyDescent="0.55000000000000004">
      <c r="A18" s="62" t="s">
        <v>131</v>
      </c>
      <c r="B18">
        <v>97.68</v>
      </c>
      <c r="C18">
        <v>7</v>
      </c>
      <c r="I18" s="70"/>
      <c r="J18" s="70"/>
      <c r="K18" s="70"/>
    </row>
    <row r="19" spans="1:14" x14ac:dyDescent="0.35">
      <c r="A19" s="62" t="s">
        <v>139</v>
      </c>
      <c r="B19">
        <v>165</v>
      </c>
      <c r="C19">
        <v>10</v>
      </c>
      <c r="I19" s="69"/>
      <c r="J19" s="69"/>
      <c r="K19" s="69"/>
    </row>
    <row r="20" spans="1:14" x14ac:dyDescent="0.35">
      <c r="A20" s="62" t="s">
        <v>132</v>
      </c>
      <c r="B20">
        <v>566.75</v>
      </c>
      <c r="C20">
        <v>36</v>
      </c>
      <c r="I20" s="69"/>
      <c r="J20" s="69"/>
      <c r="K20" s="69"/>
      <c r="N20" t="s">
        <v>152</v>
      </c>
    </row>
    <row r="21" spans="1:14" x14ac:dyDescent="0.35">
      <c r="A21" s="62" t="s">
        <v>133</v>
      </c>
      <c r="B21">
        <v>619.65000000000032</v>
      </c>
      <c r="C21">
        <v>42</v>
      </c>
    </row>
    <row r="22" spans="1:14" x14ac:dyDescent="0.35">
      <c r="A22" s="62" t="s">
        <v>134</v>
      </c>
      <c r="B22">
        <v>354.03</v>
      </c>
      <c r="C22">
        <v>25</v>
      </c>
    </row>
    <row r="23" spans="1:14" x14ac:dyDescent="0.35">
      <c r="A23" s="62" t="s">
        <v>135</v>
      </c>
      <c r="B23">
        <v>272.40999999999997</v>
      </c>
      <c r="C23">
        <v>15</v>
      </c>
    </row>
    <row r="24" spans="1:14" x14ac:dyDescent="0.35">
      <c r="A24" s="62" t="s">
        <v>137</v>
      </c>
      <c r="B24">
        <v>562.29999999999973</v>
      </c>
      <c r="C24">
        <v>41</v>
      </c>
    </row>
    <row r="25" spans="1:14" x14ac:dyDescent="0.35">
      <c r="A25" s="62" t="s">
        <v>125</v>
      </c>
      <c r="B25">
        <v>2877.4857142857159</v>
      </c>
      <c r="C25">
        <v>191</v>
      </c>
    </row>
    <row r="30" spans="1:14" x14ac:dyDescent="0.35">
      <c r="B30" s="61" t="s">
        <v>141</v>
      </c>
    </row>
    <row r="31" spans="1:14" x14ac:dyDescent="0.35">
      <c r="A31" s="61" t="s">
        <v>124</v>
      </c>
      <c r="B31" t="s">
        <v>130</v>
      </c>
      <c r="C31" t="s">
        <v>131</v>
      </c>
      <c r="D31" t="s">
        <v>139</v>
      </c>
      <c r="E31" t="s">
        <v>132</v>
      </c>
      <c r="F31" t="s">
        <v>133</v>
      </c>
      <c r="G31" t="s">
        <v>134</v>
      </c>
      <c r="H31" t="s">
        <v>135</v>
      </c>
      <c r="I31" t="s">
        <v>137</v>
      </c>
      <c r="J31" t="s">
        <v>125</v>
      </c>
    </row>
    <row r="32" spans="1:14" x14ac:dyDescent="0.35">
      <c r="A32" s="62" t="s">
        <v>149</v>
      </c>
    </row>
    <row r="33" spans="1:1" x14ac:dyDescent="0.35">
      <c r="A33" s="62" t="s">
        <v>130</v>
      </c>
    </row>
    <row r="34" spans="1:1" x14ac:dyDescent="0.35">
      <c r="A34" s="62" t="s">
        <v>131</v>
      </c>
    </row>
    <row r="35" spans="1:1" x14ac:dyDescent="0.35">
      <c r="A35" s="62" t="s">
        <v>132</v>
      </c>
    </row>
    <row r="36" spans="1:1" x14ac:dyDescent="0.35">
      <c r="A36" s="62" t="s">
        <v>133</v>
      </c>
    </row>
    <row r="37" spans="1:1" x14ac:dyDescent="0.35">
      <c r="A37" s="66">
        <v>45873</v>
      </c>
    </row>
    <row r="38" spans="1:1" x14ac:dyDescent="0.35">
      <c r="A38" s="64" t="s">
        <v>12</v>
      </c>
    </row>
    <row r="39" spans="1:1" x14ac:dyDescent="0.35">
      <c r="A39" s="65">
        <v>45840</v>
      </c>
    </row>
    <row r="40" spans="1:1" x14ac:dyDescent="0.35">
      <c r="A40" s="66">
        <v>45874</v>
      </c>
    </row>
    <row r="41" spans="1:1" x14ac:dyDescent="0.35">
      <c r="A41" s="64" t="s">
        <v>22</v>
      </c>
    </row>
    <row r="42" spans="1:1" x14ac:dyDescent="0.35">
      <c r="A42" s="65">
        <v>45849</v>
      </c>
    </row>
    <row r="43" spans="1:1" x14ac:dyDescent="0.35">
      <c r="A43" s="66">
        <v>45875</v>
      </c>
    </row>
    <row r="44" spans="1:1" x14ac:dyDescent="0.35">
      <c r="A44" s="64" t="s">
        <v>12</v>
      </c>
    </row>
    <row r="45" spans="1:1" x14ac:dyDescent="0.35">
      <c r="A45" s="65">
        <v>45840</v>
      </c>
    </row>
    <row r="46" spans="1:1" x14ac:dyDescent="0.35">
      <c r="A46" s="66">
        <v>45877</v>
      </c>
    </row>
    <row r="47" spans="1:1" x14ac:dyDescent="0.35">
      <c r="A47" s="64" t="s">
        <v>20</v>
      </c>
    </row>
    <row r="48" spans="1:1" x14ac:dyDescent="0.35">
      <c r="A48" s="65">
        <v>45849</v>
      </c>
    </row>
    <row r="49" spans="1:1" x14ac:dyDescent="0.35">
      <c r="A49" s="66">
        <v>45882</v>
      </c>
    </row>
    <row r="50" spans="1:1" x14ac:dyDescent="0.35">
      <c r="A50" s="64" t="s">
        <v>53</v>
      </c>
    </row>
    <row r="51" spans="1:1" x14ac:dyDescent="0.35">
      <c r="A51" s="65">
        <v>45849</v>
      </c>
    </row>
    <row r="52" spans="1:1" x14ac:dyDescent="0.35">
      <c r="A52" s="64" t="s">
        <v>47</v>
      </c>
    </row>
    <row r="53" spans="1:1" x14ac:dyDescent="0.35">
      <c r="A53" s="65">
        <v>45849</v>
      </c>
    </row>
    <row r="54" spans="1:1" x14ac:dyDescent="0.35">
      <c r="A54" s="66">
        <v>45886</v>
      </c>
    </row>
    <row r="55" spans="1:1" x14ac:dyDescent="0.35">
      <c r="A55" s="64" t="s">
        <v>31</v>
      </c>
    </row>
    <row r="56" spans="1:1" x14ac:dyDescent="0.35">
      <c r="A56" s="65">
        <v>45849</v>
      </c>
    </row>
    <row r="57" spans="1:1" x14ac:dyDescent="0.35">
      <c r="A57" s="66">
        <v>45890</v>
      </c>
    </row>
    <row r="58" spans="1:1" x14ac:dyDescent="0.35">
      <c r="A58" s="64" t="s">
        <v>15</v>
      </c>
    </row>
    <row r="59" spans="1:1" x14ac:dyDescent="0.35">
      <c r="A59" s="65">
        <v>45849</v>
      </c>
    </row>
    <row r="60" spans="1:1" x14ac:dyDescent="0.35">
      <c r="A60" s="64" t="s">
        <v>51</v>
      </c>
    </row>
    <row r="61" spans="1:1" x14ac:dyDescent="0.35">
      <c r="A61" s="65">
        <v>45849</v>
      </c>
    </row>
    <row r="62" spans="1:1" x14ac:dyDescent="0.35">
      <c r="A62" s="66">
        <v>45893</v>
      </c>
    </row>
    <row r="63" spans="1:1" x14ac:dyDescent="0.35">
      <c r="A63" s="64" t="s">
        <v>43</v>
      </c>
    </row>
    <row r="64" spans="1:1" x14ac:dyDescent="0.35">
      <c r="A64" s="65">
        <v>45849</v>
      </c>
    </row>
    <row r="65" spans="1:1" x14ac:dyDescent="0.35">
      <c r="A65" s="66">
        <v>45895</v>
      </c>
    </row>
    <row r="66" spans="1:1" x14ac:dyDescent="0.35">
      <c r="A66" s="64" t="s">
        <v>12</v>
      </c>
    </row>
    <row r="67" spans="1:1" x14ac:dyDescent="0.35">
      <c r="A67" s="65">
        <v>45873</v>
      </c>
    </row>
    <row r="68" spans="1:1" x14ac:dyDescent="0.35">
      <c r="A68" s="64" t="s">
        <v>28</v>
      </c>
    </row>
    <row r="69" spans="1:1" x14ac:dyDescent="0.35">
      <c r="A69" s="65">
        <v>45873</v>
      </c>
    </row>
    <row r="70" spans="1:1" x14ac:dyDescent="0.35">
      <c r="A70" s="66">
        <v>45896</v>
      </c>
    </row>
    <row r="71" spans="1:1" x14ac:dyDescent="0.35">
      <c r="A71" s="64" t="s">
        <v>12</v>
      </c>
    </row>
    <row r="72" spans="1:1" x14ac:dyDescent="0.35">
      <c r="A72" s="65">
        <v>45873</v>
      </c>
    </row>
    <row r="73" spans="1:1" x14ac:dyDescent="0.35">
      <c r="A73" s="66">
        <v>45899</v>
      </c>
    </row>
    <row r="74" spans="1:1" x14ac:dyDescent="0.35">
      <c r="A74" s="64" t="s">
        <v>15</v>
      </c>
    </row>
    <row r="75" spans="1:1" x14ac:dyDescent="0.35">
      <c r="A75" s="65">
        <v>45849</v>
      </c>
    </row>
    <row r="76" spans="1:1" x14ac:dyDescent="0.35">
      <c r="A76" s="62" t="s">
        <v>134</v>
      </c>
    </row>
    <row r="77" spans="1:1" x14ac:dyDescent="0.35">
      <c r="A77" s="66">
        <v>45903</v>
      </c>
    </row>
    <row r="78" spans="1:1" x14ac:dyDescent="0.35">
      <c r="A78" s="64" t="s">
        <v>12</v>
      </c>
    </row>
    <row r="79" spans="1:1" x14ac:dyDescent="0.35">
      <c r="A79" s="65">
        <v>45840</v>
      </c>
    </row>
    <row r="80" spans="1:1" x14ac:dyDescent="0.35">
      <c r="A80" s="66">
        <v>45905</v>
      </c>
    </row>
    <row r="81" spans="1:1" x14ac:dyDescent="0.35">
      <c r="A81" s="64" t="s">
        <v>34</v>
      </c>
    </row>
    <row r="82" spans="1:1" x14ac:dyDescent="0.35">
      <c r="A82" s="65">
        <v>45849</v>
      </c>
    </row>
    <row r="83" spans="1:1" x14ac:dyDescent="0.35">
      <c r="A83" s="66">
        <v>45906</v>
      </c>
    </row>
    <row r="84" spans="1:1" x14ac:dyDescent="0.35">
      <c r="A84" s="64" t="s">
        <v>55</v>
      </c>
    </row>
    <row r="85" spans="1:1" x14ac:dyDescent="0.35">
      <c r="A85" s="65">
        <v>45849</v>
      </c>
    </row>
    <row r="86" spans="1:1" x14ac:dyDescent="0.35">
      <c r="A86" s="64" t="s">
        <v>27</v>
      </c>
    </row>
    <row r="87" spans="1:1" x14ac:dyDescent="0.35">
      <c r="A87" s="65">
        <v>45873</v>
      </c>
    </row>
    <row r="88" spans="1:1" x14ac:dyDescent="0.35">
      <c r="A88" s="66">
        <v>45908</v>
      </c>
    </row>
    <row r="89" spans="1:1" x14ac:dyDescent="0.35">
      <c r="A89" s="64" t="s">
        <v>12</v>
      </c>
    </row>
    <row r="90" spans="1:1" x14ac:dyDescent="0.35">
      <c r="A90" s="65">
        <v>45887</v>
      </c>
    </row>
    <row r="91" spans="1:1" x14ac:dyDescent="0.35">
      <c r="A91" s="64" t="s">
        <v>69</v>
      </c>
    </row>
    <row r="92" spans="1:1" x14ac:dyDescent="0.35">
      <c r="A92" s="65">
        <v>45887</v>
      </c>
    </row>
    <row r="93" spans="1:1" x14ac:dyDescent="0.35">
      <c r="A93" s="64" t="s">
        <v>84</v>
      </c>
    </row>
    <row r="94" spans="1:1" x14ac:dyDescent="0.35">
      <c r="A94" s="65">
        <v>45887</v>
      </c>
    </row>
    <row r="95" spans="1:1" x14ac:dyDescent="0.35">
      <c r="A95" s="66">
        <v>45909</v>
      </c>
    </row>
    <row r="96" spans="1:1" x14ac:dyDescent="0.35">
      <c r="A96" s="64" t="s">
        <v>33</v>
      </c>
    </row>
    <row r="97" spans="1:1" x14ac:dyDescent="0.35">
      <c r="A97" s="65">
        <v>45849</v>
      </c>
    </row>
    <row r="98" spans="1:1" x14ac:dyDescent="0.35">
      <c r="A98" s="66">
        <v>45910</v>
      </c>
    </row>
    <row r="99" spans="1:1" x14ac:dyDescent="0.35">
      <c r="A99" s="64" t="s">
        <v>68</v>
      </c>
    </row>
    <row r="100" spans="1:1" x14ac:dyDescent="0.35">
      <c r="A100" s="65">
        <v>45887</v>
      </c>
    </row>
    <row r="101" spans="1:1" x14ac:dyDescent="0.35">
      <c r="A101" s="66">
        <v>45913</v>
      </c>
    </row>
    <row r="102" spans="1:1" x14ac:dyDescent="0.35">
      <c r="A102" s="64" t="s">
        <v>43</v>
      </c>
    </row>
    <row r="103" spans="1:1" x14ac:dyDescent="0.35">
      <c r="A103" s="65">
        <v>45849</v>
      </c>
    </row>
    <row r="104" spans="1:1" x14ac:dyDescent="0.35">
      <c r="A104" s="64" t="s">
        <v>68</v>
      </c>
    </row>
    <row r="105" spans="1:1" x14ac:dyDescent="0.35">
      <c r="A105" s="65">
        <v>45887</v>
      </c>
    </row>
    <row r="106" spans="1:1" x14ac:dyDescent="0.35">
      <c r="A106" s="66">
        <v>45914</v>
      </c>
    </row>
    <row r="107" spans="1:1" x14ac:dyDescent="0.35">
      <c r="A107" s="64" t="s">
        <v>12</v>
      </c>
    </row>
    <row r="108" spans="1:1" x14ac:dyDescent="0.35">
      <c r="A108" s="65">
        <v>45849</v>
      </c>
    </row>
    <row r="109" spans="1:1" x14ac:dyDescent="0.35">
      <c r="A109" s="66">
        <v>45915</v>
      </c>
    </row>
    <row r="110" spans="1:1" x14ac:dyDescent="0.35">
      <c r="A110" s="64" t="s">
        <v>32</v>
      </c>
    </row>
    <row r="111" spans="1:1" x14ac:dyDescent="0.35">
      <c r="A111" s="65">
        <v>45887</v>
      </c>
    </row>
    <row r="112" spans="1:1" x14ac:dyDescent="0.35">
      <c r="A112" s="64" t="s">
        <v>45</v>
      </c>
    </row>
    <row r="113" spans="1:1" x14ac:dyDescent="0.35">
      <c r="A113" s="65">
        <v>45887</v>
      </c>
    </row>
    <row r="114" spans="1:1" x14ac:dyDescent="0.35">
      <c r="A114" s="66">
        <v>45916</v>
      </c>
    </row>
    <row r="115" spans="1:1" x14ac:dyDescent="0.35">
      <c r="A115" s="64" t="s">
        <v>15</v>
      </c>
    </row>
    <row r="116" spans="1:1" x14ac:dyDescent="0.35">
      <c r="A116" s="65">
        <v>45892</v>
      </c>
    </row>
    <row r="117" spans="1:1" x14ac:dyDescent="0.35">
      <c r="A117" s="66">
        <v>45918</v>
      </c>
    </row>
    <row r="118" spans="1:1" x14ac:dyDescent="0.35">
      <c r="A118" s="64" t="s">
        <v>12</v>
      </c>
    </row>
    <row r="119" spans="1:1" x14ac:dyDescent="0.35">
      <c r="A119" s="65">
        <v>45873</v>
      </c>
    </row>
    <row r="120" spans="1:1" x14ac:dyDescent="0.35">
      <c r="A120" s="66">
        <v>45919</v>
      </c>
    </row>
    <row r="121" spans="1:1" x14ac:dyDescent="0.35">
      <c r="A121" s="64" t="s">
        <v>67</v>
      </c>
    </row>
    <row r="122" spans="1:1" x14ac:dyDescent="0.35">
      <c r="A122" s="65">
        <v>45887</v>
      </c>
    </row>
    <row r="123" spans="1:1" x14ac:dyDescent="0.35">
      <c r="A123" s="66">
        <v>45920</v>
      </c>
    </row>
    <row r="124" spans="1:1" x14ac:dyDescent="0.35">
      <c r="A124" s="64" t="s">
        <v>76</v>
      </c>
    </row>
    <row r="125" spans="1:1" x14ac:dyDescent="0.35">
      <c r="A125" s="65">
        <v>45897</v>
      </c>
    </row>
    <row r="126" spans="1:1" x14ac:dyDescent="0.35">
      <c r="A126" s="64" t="s">
        <v>45</v>
      </c>
    </row>
    <row r="127" spans="1:1" x14ac:dyDescent="0.35">
      <c r="A127" s="65">
        <v>45897</v>
      </c>
    </row>
    <row r="128" spans="1:1" x14ac:dyDescent="0.35">
      <c r="A128" s="64" t="s">
        <v>77</v>
      </c>
    </row>
    <row r="129" spans="1:1" x14ac:dyDescent="0.35">
      <c r="A129" s="65">
        <v>45897</v>
      </c>
    </row>
    <row r="130" spans="1:1" x14ac:dyDescent="0.35">
      <c r="A130" s="66">
        <v>45921</v>
      </c>
    </row>
    <row r="131" spans="1:1" x14ac:dyDescent="0.35">
      <c r="A131" s="64" t="s">
        <v>30</v>
      </c>
    </row>
    <row r="132" spans="1:1" x14ac:dyDescent="0.35">
      <c r="A132" s="65">
        <v>45897</v>
      </c>
    </row>
    <row r="133" spans="1:1" x14ac:dyDescent="0.35">
      <c r="A133" s="66">
        <v>45923</v>
      </c>
    </row>
    <row r="134" spans="1:1" x14ac:dyDescent="0.35">
      <c r="A134" s="64" t="s">
        <v>68</v>
      </c>
    </row>
    <row r="135" spans="1:1" x14ac:dyDescent="0.35">
      <c r="A135" s="65">
        <v>45887</v>
      </c>
    </row>
    <row r="136" spans="1:1" x14ac:dyDescent="0.35">
      <c r="A136" s="66">
        <v>45924</v>
      </c>
    </row>
    <row r="137" spans="1:1" x14ac:dyDescent="0.35">
      <c r="A137" s="64" t="s">
        <v>27</v>
      </c>
    </row>
    <row r="138" spans="1:1" x14ac:dyDescent="0.35">
      <c r="A138" s="65">
        <v>45897</v>
      </c>
    </row>
    <row r="139" spans="1:1" x14ac:dyDescent="0.35">
      <c r="A139" s="66">
        <v>45925</v>
      </c>
    </row>
    <row r="140" spans="1:1" x14ac:dyDescent="0.35">
      <c r="A140" s="64" t="s">
        <v>39</v>
      </c>
    </row>
    <row r="141" spans="1:1" x14ac:dyDescent="0.35">
      <c r="A141" s="65">
        <v>45897</v>
      </c>
    </row>
    <row r="142" spans="1:1" x14ac:dyDescent="0.35">
      <c r="A142" s="66">
        <v>45926</v>
      </c>
    </row>
    <row r="143" spans="1:1" x14ac:dyDescent="0.35">
      <c r="A143" s="64" t="s">
        <v>34</v>
      </c>
    </row>
    <row r="144" spans="1:1" x14ac:dyDescent="0.35">
      <c r="A144" s="65">
        <v>45849</v>
      </c>
    </row>
    <row r="145" spans="1:1" x14ac:dyDescent="0.35">
      <c r="A145" s="65">
        <v>45897</v>
      </c>
    </row>
    <row r="146" spans="1:1" x14ac:dyDescent="0.35">
      <c r="A146" s="62" t="s">
        <v>135</v>
      </c>
    </row>
    <row r="147" spans="1:1" x14ac:dyDescent="0.35">
      <c r="A147" s="66">
        <v>45931</v>
      </c>
    </row>
    <row r="148" spans="1:1" x14ac:dyDescent="0.35">
      <c r="A148" s="64" t="s">
        <v>32</v>
      </c>
    </row>
    <row r="149" spans="1:1" x14ac:dyDescent="0.35">
      <c r="A149" s="65">
        <v>45849</v>
      </c>
    </row>
    <row r="150" spans="1:1" x14ac:dyDescent="0.35">
      <c r="A150" s="64" t="s">
        <v>70</v>
      </c>
    </row>
    <row r="151" spans="1:1" x14ac:dyDescent="0.35">
      <c r="A151" s="65">
        <v>45887</v>
      </c>
    </row>
    <row r="152" spans="1:1" x14ac:dyDescent="0.35">
      <c r="A152" s="66">
        <v>45933</v>
      </c>
    </row>
    <row r="153" spans="1:1" x14ac:dyDescent="0.35">
      <c r="A153" s="64" t="s">
        <v>67</v>
      </c>
    </row>
    <row r="154" spans="1:1" x14ac:dyDescent="0.35">
      <c r="A154" s="65">
        <v>45887</v>
      </c>
    </row>
    <row r="155" spans="1:1" x14ac:dyDescent="0.35">
      <c r="A155" s="66">
        <v>45936</v>
      </c>
    </row>
    <row r="156" spans="1:1" x14ac:dyDescent="0.35">
      <c r="A156" s="64" t="s">
        <v>39</v>
      </c>
    </row>
    <row r="157" spans="1:1" x14ac:dyDescent="0.35">
      <c r="A157" s="65">
        <v>45849</v>
      </c>
    </row>
    <row r="158" spans="1:1" x14ac:dyDescent="0.35">
      <c r="A158" s="66">
        <v>45942</v>
      </c>
    </row>
    <row r="159" spans="1:1" x14ac:dyDescent="0.35">
      <c r="A159" s="64" t="s">
        <v>91</v>
      </c>
    </row>
    <row r="160" spans="1:1" x14ac:dyDescent="0.35">
      <c r="A160" s="65">
        <v>45910</v>
      </c>
    </row>
    <row r="161" spans="1:1" x14ac:dyDescent="0.35">
      <c r="A161" s="64" t="s">
        <v>15</v>
      </c>
    </row>
    <row r="162" spans="1:1" x14ac:dyDescent="0.35">
      <c r="A162" s="65">
        <v>45849</v>
      </c>
    </row>
    <row r="163" spans="1:1" x14ac:dyDescent="0.35">
      <c r="A163" s="64" t="s">
        <v>51</v>
      </c>
    </row>
    <row r="164" spans="1:1" x14ac:dyDescent="0.35">
      <c r="A164" s="65">
        <v>45887</v>
      </c>
    </row>
    <row r="165" spans="1:1" x14ac:dyDescent="0.35">
      <c r="A165" s="65">
        <v>45897</v>
      </c>
    </row>
    <row r="166" spans="1:1" x14ac:dyDescent="0.35">
      <c r="A166" s="66">
        <v>45943</v>
      </c>
    </row>
    <row r="167" spans="1:1" x14ac:dyDescent="0.35">
      <c r="A167" s="64" t="s">
        <v>37</v>
      </c>
    </row>
    <row r="168" spans="1:1" x14ac:dyDescent="0.35">
      <c r="A168" s="65">
        <v>45849</v>
      </c>
    </row>
    <row r="169" spans="1:1" x14ac:dyDescent="0.35">
      <c r="A169" s="64" t="s">
        <v>22</v>
      </c>
    </row>
    <row r="170" spans="1:1" x14ac:dyDescent="0.35">
      <c r="A170" s="65">
        <v>45849</v>
      </c>
    </row>
    <row r="171" spans="1:1" x14ac:dyDescent="0.35">
      <c r="A171" s="64" t="s">
        <v>35</v>
      </c>
    </row>
    <row r="172" spans="1:1" x14ac:dyDescent="0.35">
      <c r="A172" s="65">
        <v>45849</v>
      </c>
    </row>
    <row r="173" spans="1:1" x14ac:dyDescent="0.35">
      <c r="A173" s="64" t="s">
        <v>68</v>
      </c>
    </row>
    <row r="174" spans="1:1" x14ac:dyDescent="0.35">
      <c r="A174" s="65">
        <v>45873</v>
      </c>
    </row>
    <row r="175" spans="1:1" x14ac:dyDescent="0.35">
      <c r="A175" s="66">
        <v>45945</v>
      </c>
    </row>
    <row r="176" spans="1:1" x14ac:dyDescent="0.35">
      <c r="A176" s="64" t="s">
        <v>88</v>
      </c>
    </row>
    <row r="177" spans="1:1" x14ac:dyDescent="0.35">
      <c r="A177" s="65">
        <v>45910</v>
      </c>
    </row>
    <row r="178" spans="1:1" x14ac:dyDescent="0.35">
      <c r="A178" s="64" t="s">
        <v>101</v>
      </c>
    </row>
    <row r="179" spans="1:1" x14ac:dyDescent="0.35">
      <c r="A179" s="65">
        <v>45920</v>
      </c>
    </row>
    <row r="180" spans="1:1" x14ac:dyDescent="0.35">
      <c r="A180" s="64" t="s">
        <v>102</v>
      </c>
    </row>
    <row r="181" spans="1:1" x14ac:dyDescent="0.35">
      <c r="A181" s="65">
        <v>45920</v>
      </c>
    </row>
    <row r="182" spans="1:1" x14ac:dyDescent="0.35">
      <c r="A182" s="64" t="s">
        <v>104</v>
      </c>
    </row>
    <row r="183" spans="1:1" x14ac:dyDescent="0.35">
      <c r="A183" s="65">
        <v>45920</v>
      </c>
    </row>
    <row r="184" spans="1:1" x14ac:dyDescent="0.35">
      <c r="A184" s="64" t="s">
        <v>99</v>
      </c>
    </row>
    <row r="185" spans="1:1" x14ac:dyDescent="0.35">
      <c r="A185" s="65">
        <v>45920</v>
      </c>
    </row>
    <row r="186" spans="1:1" x14ac:dyDescent="0.35">
      <c r="A186" s="64" t="s">
        <v>89</v>
      </c>
    </row>
    <row r="187" spans="1:1" x14ac:dyDescent="0.35">
      <c r="A187" s="65">
        <v>45910</v>
      </c>
    </row>
    <row r="188" spans="1:1" x14ac:dyDescent="0.35">
      <c r="A188" s="66">
        <v>45946</v>
      </c>
    </row>
    <row r="189" spans="1:1" x14ac:dyDescent="0.35">
      <c r="A189" s="64" t="s">
        <v>93</v>
      </c>
    </row>
    <row r="190" spans="1:1" x14ac:dyDescent="0.35">
      <c r="A190" s="65">
        <v>45910</v>
      </c>
    </row>
    <row r="191" spans="1:1" x14ac:dyDescent="0.35">
      <c r="A191" s="64" t="s">
        <v>27</v>
      </c>
    </row>
    <row r="192" spans="1:1" x14ac:dyDescent="0.35">
      <c r="A192" s="65">
        <v>45887</v>
      </c>
    </row>
    <row r="193" spans="1:1" x14ac:dyDescent="0.35">
      <c r="A193" s="66">
        <v>45949</v>
      </c>
    </row>
    <row r="194" spans="1:1" x14ac:dyDescent="0.35">
      <c r="A194" s="64" t="s">
        <v>41</v>
      </c>
    </row>
    <row r="195" spans="1:1" x14ac:dyDescent="0.35">
      <c r="A195" s="65">
        <v>45849</v>
      </c>
    </row>
    <row r="196" spans="1:1" x14ac:dyDescent="0.35">
      <c r="A196" s="66">
        <v>45951</v>
      </c>
    </row>
    <row r="197" spans="1:1" x14ac:dyDescent="0.35">
      <c r="A197" s="64" t="s">
        <v>27</v>
      </c>
    </row>
    <row r="198" spans="1:1" x14ac:dyDescent="0.35">
      <c r="A198" s="65">
        <v>45897</v>
      </c>
    </row>
    <row r="199" spans="1:1" x14ac:dyDescent="0.35">
      <c r="A199" s="64" t="s">
        <v>15</v>
      </c>
    </row>
    <row r="200" spans="1:1" x14ac:dyDescent="0.35">
      <c r="A200" s="65">
        <v>45892</v>
      </c>
    </row>
    <row r="201" spans="1:1" x14ac:dyDescent="0.35">
      <c r="A201" s="64" t="s">
        <v>51</v>
      </c>
    </row>
    <row r="202" spans="1:1" x14ac:dyDescent="0.35">
      <c r="A202" s="65">
        <v>45887</v>
      </c>
    </row>
    <row r="203" spans="1:1" x14ac:dyDescent="0.35">
      <c r="A203" s="65">
        <v>45897</v>
      </c>
    </row>
    <row r="204" spans="1:1" x14ac:dyDescent="0.35">
      <c r="A204" s="66">
        <v>45953</v>
      </c>
    </row>
    <row r="205" spans="1:1" x14ac:dyDescent="0.35">
      <c r="A205" s="64" t="s">
        <v>32</v>
      </c>
    </row>
    <row r="206" spans="1:1" x14ac:dyDescent="0.35">
      <c r="A206" s="65">
        <v>45920</v>
      </c>
    </row>
    <row r="207" spans="1:1" x14ac:dyDescent="0.35">
      <c r="A207" s="66">
        <v>45959</v>
      </c>
    </row>
    <row r="208" spans="1:1" x14ac:dyDescent="0.35">
      <c r="A208" s="64" t="s">
        <v>96</v>
      </c>
    </row>
    <row r="209" spans="1:1" x14ac:dyDescent="0.35">
      <c r="A209" s="65">
        <v>45910</v>
      </c>
    </row>
    <row r="210" spans="1:1" x14ac:dyDescent="0.35">
      <c r="A210" s="66">
        <v>45961</v>
      </c>
    </row>
    <row r="211" spans="1:1" x14ac:dyDescent="0.35">
      <c r="A211" s="64" t="s">
        <v>67</v>
      </c>
    </row>
    <row r="212" spans="1:1" x14ac:dyDescent="0.35">
      <c r="A212" s="65">
        <v>45887</v>
      </c>
    </row>
    <row r="213" spans="1:1" x14ac:dyDescent="0.35">
      <c r="A213" s="64" t="s">
        <v>97</v>
      </c>
    </row>
    <row r="214" spans="1:1" x14ac:dyDescent="0.35">
      <c r="A214" s="65">
        <v>45910</v>
      </c>
    </row>
    <row r="215" spans="1:1" x14ac:dyDescent="0.35">
      <c r="A215" s="64" t="s">
        <v>51</v>
      </c>
    </row>
    <row r="216" spans="1:1" x14ac:dyDescent="0.35">
      <c r="A216" s="65">
        <v>45920</v>
      </c>
    </row>
    <row r="217" spans="1:1" x14ac:dyDescent="0.35">
      <c r="A217" s="62" t="s">
        <v>136</v>
      </c>
    </row>
    <row r="218" spans="1:1" x14ac:dyDescent="0.35">
      <c r="A218" s="66">
        <v>45962</v>
      </c>
    </row>
    <row r="219" spans="1:1" x14ac:dyDescent="0.35">
      <c r="A219" s="64" t="s">
        <v>114</v>
      </c>
    </row>
    <row r="220" spans="1:1" x14ac:dyDescent="0.35">
      <c r="A220" s="65">
        <v>45955</v>
      </c>
    </row>
    <row r="221" spans="1:1" x14ac:dyDescent="0.35">
      <c r="A221" s="66">
        <v>45964</v>
      </c>
    </row>
    <row r="222" spans="1:1" x14ac:dyDescent="0.35">
      <c r="A222" s="64" t="s">
        <v>108</v>
      </c>
    </row>
    <row r="223" spans="1:1" x14ac:dyDescent="0.35">
      <c r="A223" s="65">
        <v>45935</v>
      </c>
    </row>
    <row r="224" spans="1:1" x14ac:dyDescent="0.35">
      <c r="A224" s="66">
        <v>45965</v>
      </c>
    </row>
    <row r="225" spans="1:1" x14ac:dyDescent="0.35">
      <c r="A225" s="64" t="s">
        <v>98</v>
      </c>
    </row>
    <row r="226" spans="1:1" x14ac:dyDescent="0.35">
      <c r="A226" s="65">
        <v>45910</v>
      </c>
    </row>
    <row r="227" spans="1:1" x14ac:dyDescent="0.35">
      <c r="A227" s="66">
        <v>45966</v>
      </c>
    </row>
    <row r="228" spans="1:1" x14ac:dyDescent="0.35">
      <c r="A228" s="64" t="s">
        <v>51</v>
      </c>
    </row>
    <row r="229" spans="1:1" x14ac:dyDescent="0.35">
      <c r="A229" s="65">
        <v>45897</v>
      </c>
    </row>
    <row r="230" spans="1:1" x14ac:dyDescent="0.35">
      <c r="A230" s="66">
        <v>45967</v>
      </c>
    </row>
    <row r="231" spans="1:1" x14ac:dyDescent="0.35">
      <c r="A231" s="64" t="s">
        <v>94</v>
      </c>
    </row>
    <row r="232" spans="1:1" x14ac:dyDescent="0.35">
      <c r="A232" s="65">
        <v>45910</v>
      </c>
    </row>
    <row r="233" spans="1:1" x14ac:dyDescent="0.35">
      <c r="A233" s="64" t="s">
        <v>12</v>
      </c>
    </row>
    <row r="234" spans="1:1" x14ac:dyDescent="0.35">
      <c r="A234" s="65">
        <v>45840</v>
      </c>
    </row>
    <row r="235" spans="1:1" x14ac:dyDescent="0.35">
      <c r="A235" s="64" t="s">
        <v>105</v>
      </c>
    </row>
    <row r="236" spans="1:1" x14ac:dyDescent="0.35">
      <c r="A236" s="65">
        <v>45935</v>
      </c>
    </row>
    <row r="237" spans="1:1" x14ac:dyDescent="0.35">
      <c r="A237" s="66">
        <v>45968</v>
      </c>
    </row>
    <row r="238" spans="1:1" x14ac:dyDescent="0.35">
      <c r="A238" s="64" t="s">
        <v>93</v>
      </c>
    </row>
    <row r="239" spans="1:1" x14ac:dyDescent="0.35">
      <c r="A239" s="65">
        <v>45910</v>
      </c>
    </row>
    <row r="240" spans="1:1" x14ac:dyDescent="0.35">
      <c r="A240" s="66">
        <v>45970</v>
      </c>
    </row>
    <row r="241" spans="1:1" x14ac:dyDescent="0.35">
      <c r="A241" s="64" t="s">
        <v>22</v>
      </c>
    </row>
    <row r="242" spans="1:1" x14ac:dyDescent="0.35">
      <c r="A242" s="65">
        <v>45849</v>
      </c>
    </row>
    <row r="243" spans="1:1" x14ac:dyDescent="0.35">
      <c r="A243" s="66">
        <v>45971</v>
      </c>
    </row>
    <row r="244" spans="1:1" x14ac:dyDescent="0.35">
      <c r="A244" s="64" t="s">
        <v>30</v>
      </c>
    </row>
    <row r="245" spans="1:1" x14ac:dyDescent="0.35">
      <c r="A245" s="65">
        <v>45849</v>
      </c>
    </row>
    <row r="246" spans="1:1" x14ac:dyDescent="0.35">
      <c r="A246" s="66">
        <v>45974</v>
      </c>
    </row>
    <row r="247" spans="1:1" x14ac:dyDescent="0.35">
      <c r="A247" s="64" t="s">
        <v>32</v>
      </c>
    </row>
    <row r="248" spans="1:1" x14ac:dyDescent="0.35">
      <c r="A248" s="65">
        <v>45887</v>
      </c>
    </row>
    <row r="249" spans="1:1" x14ac:dyDescent="0.35">
      <c r="A249" s="64" t="s">
        <v>68</v>
      </c>
    </row>
    <row r="250" spans="1:1" x14ac:dyDescent="0.35">
      <c r="A250" s="65">
        <v>45887</v>
      </c>
    </row>
    <row r="251" spans="1:1" x14ac:dyDescent="0.35">
      <c r="A251" s="66">
        <v>45979</v>
      </c>
    </row>
    <row r="252" spans="1:1" x14ac:dyDescent="0.35">
      <c r="A252" s="64" t="s">
        <v>114</v>
      </c>
    </row>
    <row r="253" spans="1:1" x14ac:dyDescent="0.35">
      <c r="A253" s="65">
        <v>45955</v>
      </c>
    </row>
    <row r="254" spans="1:1" x14ac:dyDescent="0.35">
      <c r="A254" s="66">
        <v>45980</v>
      </c>
    </row>
    <row r="255" spans="1:1" x14ac:dyDescent="0.35">
      <c r="A255" s="64" t="s">
        <v>112</v>
      </c>
    </row>
    <row r="256" spans="1:1" x14ac:dyDescent="0.35">
      <c r="A256" s="65">
        <v>45955</v>
      </c>
    </row>
    <row r="257" spans="1:1" x14ac:dyDescent="0.35">
      <c r="A257" s="64" t="s">
        <v>113</v>
      </c>
    </row>
    <row r="258" spans="1:1" x14ac:dyDescent="0.35">
      <c r="A258" s="65">
        <v>45955</v>
      </c>
    </row>
    <row r="259" spans="1:1" x14ac:dyDescent="0.35">
      <c r="A259" s="64" t="s">
        <v>45</v>
      </c>
    </row>
    <row r="260" spans="1:1" x14ac:dyDescent="0.35">
      <c r="A260" s="65">
        <v>45849</v>
      </c>
    </row>
    <row r="261" spans="1:1" x14ac:dyDescent="0.35">
      <c r="A261" s="64" t="s">
        <v>110</v>
      </c>
    </row>
    <row r="262" spans="1:1" x14ac:dyDescent="0.35">
      <c r="A262" s="65">
        <v>45955</v>
      </c>
    </row>
    <row r="263" spans="1:1" x14ac:dyDescent="0.35">
      <c r="A263" s="64" t="s">
        <v>109</v>
      </c>
    </row>
    <row r="264" spans="1:1" x14ac:dyDescent="0.35">
      <c r="A264" s="65">
        <v>45955</v>
      </c>
    </row>
    <row r="265" spans="1:1" x14ac:dyDescent="0.35">
      <c r="A265" s="64" t="s">
        <v>111</v>
      </c>
    </row>
    <row r="266" spans="1:1" x14ac:dyDescent="0.35">
      <c r="A266" s="65">
        <v>45955</v>
      </c>
    </row>
    <row r="267" spans="1:1" x14ac:dyDescent="0.35">
      <c r="A267" s="66">
        <v>45989</v>
      </c>
    </row>
    <row r="268" spans="1:1" x14ac:dyDescent="0.35">
      <c r="A268" s="64" t="s">
        <v>92</v>
      </c>
    </row>
    <row r="269" spans="1:1" x14ac:dyDescent="0.35">
      <c r="A269" s="65">
        <v>45910</v>
      </c>
    </row>
    <row r="270" spans="1:1" x14ac:dyDescent="0.35">
      <c r="A270" s="64" t="s">
        <v>67</v>
      </c>
    </row>
    <row r="271" spans="1:1" x14ac:dyDescent="0.35">
      <c r="A271" s="65">
        <v>45887</v>
      </c>
    </row>
    <row r="272" spans="1:1" x14ac:dyDescent="0.35">
      <c r="A272" s="64" t="s">
        <v>15</v>
      </c>
    </row>
    <row r="273" spans="1:1" x14ac:dyDescent="0.35">
      <c r="A273" s="65">
        <v>45892</v>
      </c>
    </row>
    <row r="274" spans="1:1" x14ac:dyDescent="0.35">
      <c r="A274" s="66">
        <v>45990</v>
      </c>
    </row>
    <row r="275" spans="1:1" x14ac:dyDescent="0.35">
      <c r="A275" s="64" t="s">
        <v>106</v>
      </c>
    </row>
    <row r="276" spans="1:1" x14ac:dyDescent="0.35">
      <c r="A276" s="65">
        <v>45935</v>
      </c>
    </row>
    <row r="277" spans="1:1" x14ac:dyDescent="0.35">
      <c r="A277" s="62" t="s">
        <v>137</v>
      </c>
    </row>
    <row r="278" spans="1:1" x14ac:dyDescent="0.35">
      <c r="A278" s="66">
        <v>45992</v>
      </c>
    </row>
    <row r="279" spans="1:1" x14ac:dyDescent="0.35">
      <c r="A279" s="64" t="s">
        <v>92</v>
      </c>
    </row>
    <row r="280" spans="1:1" x14ac:dyDescent="0.35">
      <c r="A280" s="65">
        <v>45910</v>
      </c>
    </row>
    <row r="281" spans="1:1" x14ac:dyDescent="0.35">
      <c r="A281" s="64" t="s">
        <v>115</v>
      </c>
    </row>
    <row r="282" spans="1:1" x14ac:dyDescent="0.35">
      <c r="A282" s="65">
        <v>45945</v>
      </c>
    </row>
    <row r="283" spans="1:1" x14ac:dyDescent="0.35">
      <c r="A283" s="64" t="s">
        <v>12</v>
      </c>
    </row>
    <row r="284" spans="1:1" x14ac:dyDescent="0.35">
      <c r="A284" s="65">
        <v>45849</v>
      </c>
    </row>
    <row r="285" spans="1:1" x14ac:dyDescent="0.35">
      <c r="A285" s="66">
        <v>45999</v>
      </c>
    </row>
    <row r="286" spans="1:1" x14ac:dyDescent="0.35">
      <c r="A286" s="64" t="s">
        <v>43</v>
      </c>
    </row>
    <row r="287" spans="1:1" x14ac:dyDescent="0.35">
      <c r="A287" s="65">
        <v>45849</v>
      </c>
    </row>
    <row r="288" spans="1:1" x14ac:dyDescent="0.35">
      <c r="A288" s="66">
        <v>46001</v>
      </c>
    </row>
    <row r="289" spans="1:1" x14ac:dyDescent="0.35">
      <c r="A289" s="64" t="s">
        <v>94</v>
      </c>
    </row>
    <row r="290" spans="1:1" x14ac:dyDescent="0.35">
      <c r="A290" s="65">
        <v>45910</v>
      </c>
    </row>
    <row r="291" spans="1:1" x14ac:dyDescent="0.35">
      <c r="A291" s="64" t="s">
        <v>95</v>
      </c>
    </row>
    <row r="292" spans="1:1" x14ac:dyDescent="0.35">
      <c r="A292" s="65">
        <v>45910</v>
      </c>
    </row>
    <row r="293" spans="1:1" x14ac:dyDescent="0.35">
      <c r="A293" s="66">
        <v>46010</v>
      </c>
    </row>
    <row r="294" spans="1:1" x14ac:dyDescent="0.35">
      <c r="A294" s="64" t="s">
        <v>90</v>
      </c>
    </row>
    <row r="295" spans="1:1" x14ac:dyDescent="0.35">
      <c r="A295" s="65">
        <v>45910</v>
      </c>
    </row>
    <row r="296" spans="1:1" x14ac:dyDescent="0.35">
      <c r="A296" s="62" t="s">
        <v>125</v>
      </c>
    </row>
  </sheetData>
  <mergeCells count="8">
    <mergeCell ref="I4:K5"/>
    <mergeCell ref="I3:K3"/>
    <mergeCell ref="I19:K20"/>
    <mergeCell ref="I18:K18"/>
    <mergeCell ref="I9:K9"/>
    <mergeCell ref="I10:K11"/>
    <mergeCell ref="I14:K14"/>
    <mergeCell ref="I15:K17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F201-B53D-4657-A96D-F0971926BB22}">
  <sheetPr codeName="Hoja1"/>
  <dimension ref="A1:Q194"/>
  <sheetViews>
    <sheetView topLeftCell="A67" zoomScale="96" zoomScaleNormal="96" workbookViewId="0">
      <selection sqref="A1:L192"/>
    </sheetView>
  </sheetViews>
  <sheetFormatPr baseColWidth="10" defaultRowHeight="14.5" x14ac:dyDescent="0.35"/>
  <cols>
    <col min="2" max="2" width="17.453125" customWidth="1"/>
    <col min="3" max="3" width="14.6328125" customWidth="1"/>
    <col min="5" max="5" width="16.08984375" customWidth="1"/>
    <col min="6" max="6" width="12.90625" customWidth="1"/>
    <col min="7" max="7" width="39.1796875" customWidth="1"/>
    <col min="8" max="8" width="12.90625" bestFit="1" customWidth="1"/>
    <col min="9" max="9" width="13.36328125" bestFit="1" customWidth="1"/>
    <col min="10" max="10" width="15.54296875" customWidth="1"/>
    <col min="11" max="11" width="15.26953125" customWidth="1"/>
    <col min="12" max="12" width="11" customWidth="1"/>
    <col min="13" max="13" width="10.90625" customWidth="1"/>
    <col min="14" max="14" width="32.6328125" customWidth="1"/>
    <col min="15" max="15" width="22.90625" bestFit="1" customWidth="1"/>
  </cols>
  <sheetData>
    <row r="1" spans="1:17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57" t="s">
        <v>11</v>
      </c>
    </row>
    <row r="2" spans="1:17" x14ac:dyDescent="0.35">
      <c r="A2" s="36">
        <v>1</v>
      </c>
      <c r="B2" s="35">
        <v>45820</v>
      </c>
      <c r="C2" s="35">
        <v>45841</v>
      </c>
      <c r="D2" s="52">
        <v>10</v>
      </c>
      <c r="E2" s="52">
        <v>5</v>
      </c>
      <c r="F2" s="52">
        <f>'Tabla jerseys'!$D2+'Tabla jerseys'!$E2</f>
        <v>15</v>
      </c>
      <c r="G2" s="36" t="s">
        <v>12</v>
      </c>
      <c r="H2" s="36"/>
      <c r="I2" s="36" t="s">
        <v>17</v>
      </c>
      <c r="J2" s="35">
        <v>45853</v>
      </c>
      <c r="K2" s="52">
        <v>26.87</v>
      </c>
      <c r="L2" s="53">
        <f t="shared" ref="L2:L33" si="0">K2-F2</f>
        <v>11.870000000000001</v>
      </c>
      <c r="M2" s="25"/>
      <c r="Q2" s="3"/>
    </row>
    <row r="3" spans="1:17" x14ac:dyDescent="0.35">
      <c r="A3" s="36">
        <v>1</v>
      </c>
      <c r="B3" s="35">
        <v>45820</v>
      </c>
      <c r="C3" s="35">
        <v>45841</v>
      </c>
      <c r="D3" s="52">
        <v>10.5</v>
      </c>
      <c r="E3" s="52">
        <v>6</v>
      </c>
      <c r="F3" s="52">
        <f>'Tabla jerseys'!$D3+'Tabla jerseys'!$E3</f>
        <v>16.5</v>
      </c>
      <c r="G3" s="36" t="s">
        <v>15</v>
      </c>
      <c r="H3" s="36"/>
      <c r="I3" s="36" t="s">
        <v>17</v>
      </c>
      <c r="J3" s="35">
        <v>45848</v>
      </c>
      <c r="K3" s="52">
        <v>26.87</v>
      </c>
      <c r="L3" s="53">
        <f t="shared" si="0"/>
        <v>10.370000000000001</v>
      </c>
    </row>
    <row r="4" spans="1:17" x14ac:dyDescent="0.35">
      <c r="A4" s="36">
        <v>1</v>
      </c>
      <c r="B4" s="35">
        <v>45820</v>
      </c>
      <c r="C4" s="35">
        <v>45841</v>
      </c>
      <c r="D4" s="52">
        <v>10.5</v>
      </c>
      <c r="E4" s="52">
        <v>6</v>
      </c>
      <c r="F4" s="52">
        <f>'Tabla jerseys'!$D4+'Tabla jerseys'!$E4</f>
        <v>16.5</v>
      </c>
      <c r="G4" s="36" t="s">
        <v>12</v>
      </c>
      <c r="H4" s="36"/>
      <c r="I4" s="36" t="s">
        <v>24</v>
      </c>
      <c r="J4" s="35">
        <v>45846</v>
      </c>
      <c r="K4" s="52">
        <v>29.55</v>
      </c>
      <c r="L4" s="53">
        <f t="shared" si="0"/>
        <v>13.05</v>
      </c>
    </row>
    <row r="5" spans="1:17" x14ac:dyDescent="0.35">
      <c r="A5" s="38">
        <v>1</v>
      </c>
      <c r="B5" s="37">
        <v>45820</v>
      </c>
      <c r="C5" s="37">
        <v>45841</v>
      </c>
      <c r="D5" s="54">
        <v>10.5</v>
      </c>
      <c r="E5" s="52">
        <v>6</v>
      </c>
      <c r="F5" s="52">
        <f>'Tabla jerseys'!$D5+'Tabla jerseys'!$E5</f>
        <v>16.5</v>
      </c>
      <c r="G5" s="36" t="s">
        <v>15</v>
      </c>
      <c r="H5" s="36" t="s">
        <v>16</v>
      </c>
      <c r="I5" s="36" t="s">
        <v>14</v>
      </c>
      <c r="J5" s="35">
        <v>45845</v>
      </c>
      <c r="K5" s="52">
        <v>37.6</v>
      </c>
      <c r="L5" s="53">
        <f t="shared" si="0"/>
        <v>21.1</v>
      </c>
      <c r="N5" t="s">
        <v>65</v>
      </c>
      <c r="O5">
        <f>COUNT($L$2:$L$192)</f>
        <v>191</v>
      </c>
    </row>
    <row r="6" spans="1:17" x14ac:dyDescent="0.35">
      <c r="A6" s="36">
        <v>1</v>
      </c>
      <c r="B6" s="35">
        <v>45820</v>
      </c>
      <c r="C6" s="35">
        <v>45841</v>
      </c>
      <c r="D6" s="52">
        <v>10.5</v>
      </c>
      <c r="E6" s="52">
        <v>6</v>
      </c>
      <c r="F6" s="52">
        <f>'Tabla jerseys'!$D6+'Tabla jerseys'!$E6</f>
        <v>16.5</v>
      </c>
      <c r="G6" s="36" t="s">
        <v>12</v>
      </c>
      <c r="H6" s="36" t="s">
        <v>18</v>
      </c>
      <c r="I6" s="36" t="s">
        <v>14</v>
      </c>
      <c r="J6" s="35">
        <v>45844</v>
      </c>
      <c r="K6" s="52">
        <v>37.57</v>
      </c>
      <c r="L6" s="53">
        <f t="shared" si="0"/>
        <v>21.07</v>
      </c>
      <c r="N6" t="s">
        <v>58</v>
      </c>
      <c r="O6">
        <f>COUNTIF($L$2:$L$192,"&gt;0")</f>
        <v>164</v>
      </c>
    </row>
    <row r="7" spans="1:17" x14ac:dyDescent="0.35">
      <c r="A7" s="36">
        <v>1</v>
      </c>
      <c r="B7" s="35">
        <v>45820</v>
      </c>
      <c r="C7" s="35">
        <v>45841</v>
      </c>
      <c r="D7" s="52">
        <v>10.5</v>
      </c>
      <c r="E7" s="52">
        <v>6</v>
      </c>
      <c r="F7" s="52">
        <f>'Tabla jerseys'!$D7+'Tabla jerseys'!$E7</f>
        <v>16.5</v>
      </c>
      <c r="G7" s="36" t="s">
        <v>15</v>
      </c>
      <c r="H7" s="36"/>
      <c r="I7" s="36" t="s">
        <v>24</v>
      </c>
      <c r="J7" s="35">
        <v>45843</v>
      </c>
      <c r="K7" s="52">
        <v>32.200000000000003</v>
      </c>
      <c r="L7" s="53">
        <f t="shared" si="0"/>
        <v>15.700000000000003</v>
      </c>
      <c r="N7" t="s">
        <v>59</v>
      </c>
      <c r="O7">
        <f>COUNTIF($L$2:$L$192,"&lt;0")</f>
        <v>27</v>
      </c>
      <c r="Q7" s="27"/>
    </row>
    <row r="8" spans="1:17" x14ac:dyDescent="0.35">
      <c r="A8" s="36">
        <v>1</v>
      </c>
      <c r="B8" s="35">
        <v>45820</v>
      </c>
      <c r="C8" s="35">
        <v>45841</v>
      </c>
      <c r="D8" s="52">
        <v>11</v>
      </c>
      <c r="E8" s="52">
        <v>6</v>
      </c>
      <c r="F8" s="52">
        <f>'Tabla jerseys'!$D8+'Tabla jerseys'!$E8</f>
        <v>17</v>
      </c>
      <c r="G8" s="36" t="s">
        <v>12</v>
      </c>
      <c r="H8" s="36" t="s">
        <v>13</v>
      </c>
      <c r="I8" s="36" t="s">
        <v>14</v>
      </c>
      <c r="J8" s="35">
        <v>45841</v>
      </c>
      <c r="K8" s="52">
        <v>48.19</v>
      </c>
      <c r="L8" s="53">
        <f t="shared" si="0"/>
        <v>31.189999999999998</v>
      </c>
      <c r="N8" t="s">
        <v>60</v>
      </c>
      <c r="O8" s="1">
        <f>SUM($F$2:$F$192)</f>
        <v>2877.4857142857186</v>
      </c>
    </row>
    <row r="9" spans="1:17" x14ac:dyDescent="0.35">
      <c r="A9" s="38">
        <v>1</v>
      </c>
      <c r="B9" s="37">
        <v>45820</v>
      </c>
      <c r="C9" s="37">
        <v>45841</v>
      </c>
      <c r="D9" s="54">
        <v>11</v>
      </c>
      <c r="E9" s="54">
        <v>6</v>
      </c>
      <c r="F9" s="52">
        <f>'Tabla jerseys'!$D9+'Tabla jerseys'!$E9</f>
        <v>17</v>
      </c>
      <c r="G9" s="38" t="s">
        <v>12</v>
      </c>
      <c r="H9" s="38" t="s">
        <v>13</v>
      </c>
      <c r="I9" s="38" t="s">
        <v>14</v>
      </c>
      <c r="J9" s="37">
        <v>45841</v>
      </c>
      <c r="K9" s="54">
        <v>48.19</v>
      </c>
      <c r="L9" s="53">
        <f t="shared" si="0"/>
        <v>31.189999999999998</v>
      </c>
      <c r="N9" t="s">
        <v>61</v>
      </c>
      <c r="O9" s="3">
        <f>SUM($K$2:$K$192)</f>
        <v>5246.0700000000015</v>
      </c>
    </row>
    <row r="10" spans="1:17" x14ac:dyDescent="0.35">
      <c r="A10" s="36">
        <v>1</v>
      </c>
      <c r="B10" s="35">
        <v>45820</v>
      </c>
      <c r="C10" s="35">
        <v>45841</v>
      </c>
      <c r="D10" s="52">
        <v>10.5</v>
      </c>
      <c r="E10" s="52">
        <v>6</v>
      </c>
      <c r="F10" s="52">
        <f>'Tabla jerseys'!$D10+'Tabla jerseys'!$E10</f>
        <v>16.5</v>
      </c>
      <c r="G10" s="36" t="s">
        <v>15</v>
      </c>
      <c r="H10" s="36" t="s">
        <v>16</v>
      </c>
      <c r="I10" s="36" t="s">
        <v>14</v>
      </c>
      <c r="J10" s="35">
        <v>45841</v>
      </c>
      <c r="K10" s="52">
        <v>40</v>
      </c>
      <c r="L10" s="53">
        <f t="shared" si="0"/>
        <v>23.5</v>
      </c>
      <c r="N10" t="s">
        <v>11</v>
      </c>
      <c r="O10" s="3">
        <f>O9-O8</f>
        <v>2368.5842857142829</v>
      </c>
    </row>
    <row r="11" spans="1:17" x14ac:dyDescent="0.35">
      <c r="A11" s="36">
        <v>1</v>
      </c>
      <c r="B11" s="35">
        <v>45820</v>
      </c>
      <c r="C11" s="35">
        <v>45841</v>
      </c>
      <c r="D11" s="52">
        <v>11</v>
      </c>
      <c r="E11" s="52">
        <v>6</v>
      </c>
      <c r="F11" s="52">
        <f>'Tabla jerseys'!$D11+'Tabla jerseys'!$E11</f>
        <v>17</v>
      </c>
      <c r="G11" s="36" t="s">
        <v>15</v>
      </c>
      <c r="H11" s="36" t="s">
        <v>52</v>
      </c>
      <c r="I11" s="36" t="s">
        <v>14</v>
      </c>
      <c r="J11" s="35"/>
      <c r="K11" s="52"/>
      <c r="L11" s="53">
        <f t="shared" si="0"/>
        <v>-17</v>
      </c>
      <c r="M11" s="1"/>
      <c r="N11" t="s">
        <v>62</v>
      </c>
      <c r="O11" s="2">
        <f>SUMIF('Tabla jerseys'!$L$2:$L$192,"&lt;0",'Tabla jerseys'!$F$2:$F$192)</f>
        <v>379.48379120879116</v>
      </c>
    </row>
    <row r="12" spans="1:17" x14ac:dyDescent="0.35">
      <c r="A12" s="36">
        <v>2</v>
      </c>
      <c r="B12" s="35">
        <v>45840</v>
      </c>
      <c r="C12" s="35">
        <v>45860</v>
      </c>
      <c r="D12" s="52">
        <v>11</v>
      </c>
      <c r="E12" s="52">
        <v>6</v>
      </c>
      <c r="F12" s="52">
        <f>'Tabla jerseys'!$D16+'Tabla jerseys'!$E16</f>
        <v>17</v>
      </c>
      <c r="G12" s="36" t="s">
        <v>12</v>
      </c>
      <c r="H12" s="36" t="s">
        <v>13</v>
      </c>
      <c r="I12" s="36" t="s">
        <v>14</v>
      </c>
      <c r="J12" s="35">
        <v>45967</v>
      </c>
      <c r="K12" s="52">
        <v>29.58</v>
      </c>
      <c r="L12" s="53">
        <f t="shared" si="0"/>
        <v>12.579999999999998</v>
      </c>
      <c r="N12" t="s">
        <v>63</v>
      </c>
      <c r="O12" s="2">
        <f>AVERAGEIF($L$2:$L$192,"&gt;0",$L$2:$L$192)</f>
        <v>16.81321998123828</v>
      </c>
    </row>
    <row r="13" spans="1:17" x14ac:dyDescent="0.35">
      <c r="A13" s="38">
        <v>2</v>
      </c>
      <c r="B13" s="37">
        <v>45840</v>
      </c>
      <c r="C13" s="37">
        <v>45860</v>
      </c>
      <c r="D13" s="54">
        <v>11</v>
      </c>
      <c r="E13" s="52">
        <v>6</v>
      </c>
      <c r="F13" s="52">
        <f>'Tabla jerseys'!$D12+'Tabla jerseys'!$E12</f>
        <v>17</v>
      </c>
      <c r="G13" s="36" t="s">
        <v>12</v>
      </c>
      <c r="H13" s="36" t="s">
        <v>13</v>
      </c>
      <c r="I13" s="36" t="s">
        <v>57</v>
      </c>
      <c r="J13" s="35">
        <v>45903</v>
      </c>
      <c r="K13" s="52">
        <v>32.200000000000003</v>
      </c>
      <c r="L13" s="53">
        <f t="shared" si="0"/>
        <v>15.200000000000003</v>
      </c>
      <c r="N13" t="s">
        <v>64</v>
      </c>
      <c r="O13" s="3">
        <f>O12*O5</f>
        <v>3211.3250164165115</v>
      </c>
    </row>
    <row r="14" spans="1:17" x14ac:dyDescent="0.35">
      <c r="A14" s="36">
        <v>2</v>
      </c>
      <c r="B14" s="35">
        <v>45840</v>
      </c>
      <c r="C14" s="35">
        <v>45860</v>
      </c>
      <c r="D14" s="52">
        <v>10.5</v>
      </c>
      <c r="E14" s="52">
        <v>6</v>
      </c>
      <c r="F14" s="52">
        <f>'Tabla jerseys'!$D13+'Tabla jerseys'!$E13</f>
        <v>17</v>
      </c>
      <c r="G14" s="36" t="s">
        <v>12</v>
      </c>
      <c r="H14" s="36" t="s">
        <v>13</v>
      </c>
      <c r="I14" s="36" t="s">
        <v>14</v>
      </c>
      <c r="J14" s="35">
        <v>45875</v>
      </c>
      <c r="K14" s="52">
        <v>32.25</v>
      </c>
      <c r="L14" s="53">
        <f t="shared" si="0"/>
        <v>15.25</v>
      </c>
      <c r="N14" t="s">
        <v>66</v>
      </c>
      <c r="O14" s="4">
        <f>O12*O7</f>
        <v>453.95693949343354</v>
      </c>
    </row>
    <row r="15" spans="1:17" x14ac:dyDescent="0.35">
      <c r="A15" s="36">
        <v>2</v>
      </c>
      <c r="B15" s="35">
        <v>45840</v>
      </c>
      <c r="C15" s="35">
        <v>45860</v>
      </c>
      <c r="D15" s="52">
        <v>10.5</v>
      </c>
      <c r="E15" s="52">
        <v>6</v>
      </c>
      <c r="F15" s="52">
        <f>'Tabla jerseys'!$D14+'Tabla jerseys'!$E14</f>
        <v>16.5</v>
      </c>
      <c r="G15" s="36" t="s">
        <v>12</v>
      </c>
      <c r="H15" s="36" t="s">
        <v>13</v>
      </c>
      <c r="I15" s="36" t="s">
        <v>14</v>
      </c>
      <c r="J15" s="35">
        <v>45873</v>
      </c>
      <c r="K15" s="52">
        <v>32.25</v>
      </c>
      <c r="L15" s="53">
        <f t="shared" si="0"/>
        <v>15.75</v>
      </c>
      <c r="N15" t="s">
        <v>82</v>
      </c>
      <c r="O15">
        <f>SUMIF('Tabla jerseys'!$J$2:$J$114,"",'Tabla jerseys'!$K$2:$K$114)</f>
        <v>0</v>
      </c>
    </row>
    <row r="16" spans="1:17" x14ac:dyDescent="0.35">
      <c r="A16" s="36">
        <v>2</v>
      </c>
      <c r="B16" s="35">
        <v>45840</v>
      </c>
      <c r="C16" s="35">
        <v>45860</v>
      </c>
      <c r="D16" s="52">
        <v>11</v>
      </c>
      <c r="E16" s="52">
        <v>6</v>
      </c>
      <c r="F16" s="52">
        <f>'Tabla jerseys'!$D15+'Tabla jerseys'!$E15</f>
        <v>16.5</v>
      </c>
      <c r="G16" s="36" t="s">
        <v>12</v>
      </c>
      <c r="H16" s="36" t="s">
        <v>13</v>
      </c>
      <c r="I16" s="36" t="s">
        <v>17</v>
      </c>
      <c r="J16" s="35">
        <v>45862</v>
      </c>
      <c r="K16" s="52">
        <v>37.630000000000003</v>
      </c>
      <c r="L16" s="53">
        <f t="shared" si="0"/>
        <v>21.130000000000003</v>
      </c>
      <c r="N16" t="s">
        <v>83</v>
      </c>
      <c r="O16" s="3">
        <f>O18+SUMIFS('Tabla jerseys'!$L$2:$L$114,'Tabla jerseys'!$L$2:$L$114,"&gt;0",'Tabla jerseys'!$J$2:$J$114,"")</f>
        <v>0</v>
      </c>
    </row>
    <row r="17" spans="1:12" x14ac:dyDescent="0.35">
      <c r="A17" s="38">
        <v>3</v>
      </c>
      <c r="B17" s="37">
        <v>45849</v>
      </c>
      <c r="C17" s="35">
        <v>45881</v>
      </c>
      <c r="D17" s="54">
        <v>9</v>
      </c>
      <c r="E17" s="54">
        <v>5.92</v>
      </c>
      <c r="F17" s="52">
        <f>'Tabla jerseys'!$D43+'Tabla jerseys'!$E43</f>
        <v>16.420000000000002</v>
      </c>
      <c r="G17" s="38" t="s">
        <v>49</v>
      </c>
      <c r="H17" s="38" t="s">
        <v>26</v>
      </c>
      <c r="I17" s="38" t="s">
        <v>14</v>
      </c>
      <c r="J17" s="37">
        <v>45992</v>
      </c>
      <c r="K17" s="52">
        <v>30.05</v>
      </c>
      <c r="L17" s="53">
        <f t="shared" si="0"/>
        <v>13.629999999999999</v>
      </c>
    </row>
    <row r="18" spans="1:12" x14ac:dyDescent="0.35">
      <c r="A18" s="36">
        <v>3</v>
      </c>
      <c r="B18" s="35">
        <v>45849</v>
      </c>
      <c r="C18" s="35">
        <v>45881</v>
      </c>
      <c r="D18" s="52">
        <v>11</v>
      </c>
      <c r="E18" s="52">
        <v>5.92</v>
      </c>
      <c r="F18" s="52">
        <f>'Tabla jerseys'!$D47+'Tabla jerseys'!$E47</f>
        <v>14.92</v>
      </c>
      <c r="G18" s="36" t="s">
        <v>45</v>
      </c>
      <c r="H18" s="36" t="s">
        <v>46</v>
      </c>
      <c r="I18" s="36" t="s">
        <v>24</v>
      </c>
      <c r="J18" s="35">
        <v>45980</v>
      </c>
      <c r="K18" s="52">
        <v>32.69</v>
      </c>
      <c r="L18" s="53">
        <f t="shared" si="0"/>
        <v>17.769999999999996</v>
      </c>
    </row>
    <row r="19" spans="1:12" x14ac:dyDescent="0.35">
      <c r="A19" s="36">
        <v>3</v>
      </c>
      <c r="B19" s="35">
        <v>45849</v>
      </c>
      <c r="C19" s="35">
        <v>45881</v>
      </c>
      <c r="D19" s="52">
        <v>8</v>
      </c>
      <c r="E19" s="52">
        <v>5.92</v>
      </c>
      <c r="F19" s="52">
        <f>'Tabla jerseys'!$D40+'Tabla jerseys'!$E40</f>
        <v>17.920000000000002</v>
      </c>
      <c r="G19" s="36" t="s">
        <v>30</v>
      </c>
      <c r="H19" s="36"/>
      <c r="I19" s="36" t="s">
        <v>25</v>
      </c>
      <c r="J19" s="35">
        <v>45971</v>
      </c>
      <c r="K19" s="52">
        <v>32.520000000000003</v>
      </c>
      <c r="L19" s="53">
        <f t="shared" si="0"/>
        <v>14.600000000000001</v>
      </c>
    </row>
    <row r="20" spans="1:12" x14ac:dyDescent="0.35">
      <c r="A20" s="36">
        <v>3</v>
      </c>
      <c r="B20" s="35">
        <v>45849</v>
      </c>
      <c r="C20" s="35">
        <v>45881</v>
      </c>
      <c r="D20" s="52">
        <v>10.5</v>
      </c>
      <c r="E20" s="52">
        <v>5.92</v>
      </c>
      <c r="F20" s="52">
        <f>'Tabla jerseys'!$D39+'Tabla jerseys'!$E39</f>
        <v>15.92</v>
      </c>
      <c r="G20" s="36" t="s">
        <v>22</v>
      </c>
      <c r="H20" s="36" t="s">
        <v>23</v>
      </c>
      <c r="I20" s="36" t="s">
        <v>24</v>
      </c>
      <c r="J20" s="35">
        <v>45874</v>
      </c>
      <c r="K20" s="52">
        <v>32.25</v>
      </c>
      <c r="L20" s="53">
        <f t="shared" si="0"/>
        <v>16.329999999999998</v>
      </c>
    </row>
    <row r="21" spans="1:12" x14ac:dyDescent="0.35">
      <c r="A21" s="38">
        <v>3</v>
      </c>
      <c r="B21" s="37">
        <v>45849</v>
      </c>
      <c r="C21" s="35">
        <v>45881</v>
      </c>
      <c r="D21" s="54">
        <v>12</v>
      </c>
      <c r="E21" s="52">
        <v>5.92</v>
      </c>
      <c r="F21" s="52">
        <f>'Tabla jerseys'!$D20+'Tabla jerseys'!$E20</f>
        <v>16.420000000000002</v>
      </c>
      <c r="G21" s="36" t="s">
        <v>15</v>
      </c>
      <c r="H21" s="36" t="s">
        <v>52</v>
      </c>
      <c r="I21" s="36" t="s">
        <v>24</v>
      </c>
      <c r="J21" s="35">
        <v>45942</v>
      </c>
      <c r="K21" s="52">
        <v>32.97</v>
      </c>
      <c r="L21" s="53">
        <f t="shared" si="0"/>
        <v>16.549999999999997</v>
      </c>
    </row>
    <row r="22" spans="1:12" x14ac:dyDescent="0.35">
      <c r="A22" s="36">
        <v>3</v>
      </c>
      <c r="B22" s="35">
        <v>45849</v>
      </c>
      <c r="C22" s="35">
        <v>45881</v>
      </c>
      <c r="D22" s="52">
        <v>9</v>
      </c>
      <c r="E22" s="52">
        <v>5.92</v>
      </c>
      <c r="F22" s="52">
        <f>'Tabla jerseys'!$D22+'Tabla jerseys'!$E22</f>
        <v>14.92</v>
      </c>
      <c r="G22" s="36" t="s">
        <v>32</v>
      </c>
      <c r="H22" s="36"/>
      <c r="I22" s="36" t="s">
        <v>17</v>
      </c>
      <c r="J22" s="35">
        <v>45931</v>
      </c>
      <c r="K22" s="52">
        <v>27.22</v>
      </c>
      <c r="L22" s="53">
        <f t="shared" si="0"/>
        <v>12.299999999999999</v>
      </c>
    </row>
    <row r="23" spans="1:12" x14ac:dyDescent="0.35">
      <c r="A23" s="36">
        <v>3</v>
      </c>
      <c r="B23" s="35">
        <v>45849</v>
      </c>
      <c r="C23" s="35">
        <v>45881</v>
      </c>
      <c r="D23" s="52">
        <v>9</v>
      </c>
      <c r="E23" s="52">
        <v>5.92</v>
      </c>
      <c r="F23" s="52">
        <f>'Tabla jerseys'!$D23+'Tabla jerseys'!$E23</f>
        <v>14.92</v>
      </c>
      <c r="G23" s="36" t="s">
        <v>34</v>
      </c>
      <c r="H23" s="36"/>
      <c r="I23" s="36" t="s">
        <v>14</v>
      </c>
      <c r="J23" s="35">
        <v>45926</v>
      </c>
      <c r="K23" s="52">
        <v>26.75</v>
      </c>
      <c r="L23" s="53">
        <f t="shared" si="0"/>
        <v>11.83</v>
      </c>
    </row>
    <row r="24" spans="1:12" x14ac:dyDescent="0.35">
      <c r="A24" s="36">
        <v>3</v>
      </c>
      <c r="B24" s="35">
        <v>45849</v>
      </c>
      <c r="C24" s="35">
        <v>45872</v>
      </c>
      <c r="D24" s="52">
        <v>9</v>
      </c>
      <c r="E24" s="52">
        <v>5.92</v>
      </c>
      <c r="F24" s="52">
        <f>'Tabla jerseys'!$D30+'Tabla jerseys'!$E30</f>
        <v>13.92</v>
      </c>
      <c r="G24" s="36" t="s">
        <v>43</v>
      </c>
      <c r="H24" s="36" t="s">
        <v>44</v>
      </c>
      <c r="I24" s="36">
        <v>24</v>
      </c>
      <c r="J24" s="35">
        <v>45893</v>
      </c>
      <c r="K24" s="52">
        <v>26.78</v>
      </c>
      <c r="L24" s="53">
        <f t="shared" si="0"/>
        <v>12.860000000000001</v>
      </c>
    </row>
    <row r="25" spans="1:12" x14ac:dyDescent="0.35">
      <c r="A25" s="36">
        <v>3</v>
      </c>
      <c r="B25" s="35">
        <v>45849</v>
      </c>
      <c r="C25" s="35">
        <v>45872</v>
      </c>
      <c r="D25" s="52">
        <v>11</v>
      </c>
      <c r="E25" s="52">
        <v>5.92</v>
      </c>
      <c r="F25" s="52">
        <f>'Tabla jerseys'!$D25+'Tabla jerseys'!$E25</f>
        <v>16.920000000000002</v>
      </c>
      <c r="G25" s="36" t="s">
        <v>43</v>
      </c>
      <c r="H25" s="36" t="s">
        <v>44</v>
      </c>
      <c r="I25" s="36">
        <v>28</v>
      </c>
      <c r="J25" s="35">
        <v>45913</v>
      </c>
      <c r="K25" s="52">
        <v>24.4</v>
      </c>
      <c r="L25" s="53">
        <f t="shared" si="0"/>
        <v>7.4799999999999969</v>
      </c>
    </row>
    <row r="26" spans="1:12" x14ac:dyDescent="0.35">
      <c r="A26" s="36">
        <v>3</v>
      </c>
      <c r="B26" s="35">
        <v>45849</v>
      </c>
      <c r="C26" s="35">
        <v>45881</v>
      </c>
      <c r="D26" s="52">
        <v>9</v>
      </c>
      <c r="E26" s="52">
        <v>5.92</v>
      </c>
      <c r="F26" s="52">
        <f>'Tabla jerseys'!$D24+'Tabla jerseys'!$E24</f>
        <v>14.92</v>
      </c>
      <c r="G26" s="36" t="s">
        <v>49</v>
      </c>
      <c r="H26" s="36" t="s">
        <v>44</v>
      </c>
      <c r="I26" s="36" t="s">
        <v>14</v>
      </c>
      <c r="J26" s="35">
        <v>45914</v>
      </c>
      <c r="K26" s="52">
        <v>35.25</v>
      </c>
      <c r="L26" s="53">
        <f t="shared" si="0"/>
        <v>20.329999999999998</v>
      </c>
    </row>
    <row r="27" spans="1:12" x14ac:dyDescent="0.35">
      <c r="A27" s="38">
        <v>3</v>
      </c>
      <c r="B27" s="37">
        <v>45849</v>
      </c>
      <c r="C27" s="35">
        <v>45872</v>
      </c>
      <c r="D27" s="54">
        <v>11</v>
      </c>
      <c r="E27" s="54">
        <v>5.92</v>
      </c>
      <c r="F27" s="52">
        <f>'Tabla jerseys'!$D21+'Tabla jerseys'!$E21</f>
        <v>17.920000000000002</v>
      </c>
      <c r="G27" s="38" t="s">
        <v>39</v>
      </c>
      <c r="H27" s="38" t="s">
        <v>40</v>
      </c>
      <c r="I27" s="38">
        <v>28</v>
      </c>
      <c r="J27" s="37">
        <v>45936</v>
      </c>
      <c r="K27" s="52">
        <v>24.46</v>
      </c>
      <c r="L27" s="53">
        <f t="shared" si="0"/>
        <v>6.5399999999999991</v>
      </c>
    </row>
    <row r="28" spans="1:12" x14ac:dyDescent="0.35">
      <c r="A28" s="36">
        <v>3</v>
      </c>
      <c r="B28" s="35">
        <v>45849</v>
      </c>
      <c r="C28" s="35">
        <v>45881</v>
      </c>
      <c r="D28" s="52">
        <v>9</v>
      </c>
      <c r="E28" s="52">
        <v>5.92</v>
      </c>
      <c r="F28" s="52">
        <f>'Tabla jerseys'!$D26+'Tabla jerseys'!$E26</f>
        <v>14.92</v>
      </c>
      <c r="G28" s="36" t="s">
        <v>33</v>
      </c>
      <c r="H28" s="36"/>
      <c r="I28" s="36" t="s">
        <v>14</v>
      </c>
      <c r="J28" s="35">
        <v>45909</v>
      </c>
      <c r="K28" s="52">
        <v>26.82</v>
      </c>
      <c r="L28" s="53">
        <f t="shared" si="0"/>
        <v>11.9</v>
      </c>
    </row>
    <row r="29" spans="1:12" x14ac:dyDescent="0.35">
      <c r="A29" s="36">
        <v>3</v>
      </c>
      <c r="B29" s="35">
        <v>45849</v>
      </c>
      <c r="C29" s="35">
        <v>45872</v>
      </c>
      <c r="D29" s="52">
        <v>8</v>
      </c>
      <c r="E29" s="52">
        <v>5.92</v>
      </c>
      <c r="F29" s="52">
        <f>'Tabla jerseys'!$D17+'Tabla jerseys'!$E17</f>
        <v>14.92</v>
      </c>
      <c r="G29" s="36" t="s">
        <v>37</v>
      </c>
      <c r="H29" s="36" t="s">
        <v>38</v>
      </c>
      <c r="I29" s="36" t="s">
        <v>14</v>
      </c>
      <c r="J29" s="35">
        <v>45943</v>
      </c>
      <c r="K29" s="52">
        <v>21.66</v>
      </c>
      <c r="L29" s="53">
        <f t="shared" si="0"/>
        <v>6.74</v>
      </c>
    </row>
    <row r="30" spans="1:12" x14ac:dyDescent="0.35">
      <c r="A30" s="36">
        <v>3</v>
      </c>
      <c r="B30" s="35">
        <v>45849</v>
      </c>
      <c r="C30" s="35">
        <v>45872</v>
      </c>
      <c r="D30" s="52">
        <v>8</v>
      </c>
      <c r="E30" s="52">
        <v>5.92</v>
      </c>
      <c r="F30" s="52">
        <f>'Tabla jerseys'!$D18+'Tabla jerseys'!$E18</f>
        <v>16.920000000000002</v>
      </c>
      <c r="G30" s="36" t="s">
        <v>22</v>
      </c>
      <c r="H30" s="36" t="s">
        <v>23</v>
      </c>
      <c r="I30" s="36" t="s">
        <v>14</v>
      </c>
      <c r="J30" s="35">
        <v>45943</v>
      </c>
      <c r="K30" s="52">
        <v>21.66</v>
      </c>
      <c r="L30" s="53">
        <f t="shared" si="0"/>
        <v>4.7399999999999984</v>
      </c>
    </row>
    <row r="31" spans="1:12" x14ac:dyDescent="0.35">
      <c r="A31" s="36">
        <v>3</v>
      </c>
      <c r="B31" s="35">
        <v>45849</v>
      </c>
      <c r="C31" s="35">
        <v>45872</v>
      </c>
      <c r="D31" s="52">
        <v>8</v>
      </c>
      <c r="E31" s="52">
        <v>5.92</v>
      </c>
      <c r="F31" s="52">
        <f>'Tabla jerseys'!$D19+'Tabla jerseys'!$E19</f>
        <v>13.92</v>
      </c>
      <c r="G31" s="36" t="s">
        <v>35</v>
      </c>
      <c r="H31" s="36" t="s">
        <v>36</v>
      </c>
      <c r="I31" s="36" t="s">
        <v>24</v>
      </c>
      <c r="J31" s="35">
        <v>45943</v>
      </c>
      <c r="K31" s="52">
        <v>21.66</v>
      </c>
      <c r="L31" s="53">
        <f t="shared" si="0"/>
        <v>7.74</v>
      </c>
    </row>
    <row r="32" spans="1:12" x14ac:dyDescent="0.35">
      <c r="A32" s="38">
        <v>3</v>
      </c>
      <c r="B32" s="37">
        <v>45849</v>
      </c>
      <c r="C32" s="35">
        <v>45872</v>
      </c>
      <c r="D32" s="54">
        <v>10.65</v>
      </c>
      <c r="E32" s="52">
        <v>5.92</v>
      </c>
      <c r="F32" s="52">
        <f>'Tabla jerseys'!$D45+'Tabla jerseys'!$E45</f>
        <v>16.420000000000002</v>
      </c>
      <c r="G32" s="36" t="s">
        <v>41</v>
      </c>
      <c r="H32" s="36" t="s">
        <v>42</v>
      </c>
      <c r="I32" s="36">
        <v>22</v>
      </c>
      <c r="J32" s="35">
        <v>45949</v>
      </c>
      <c r="K32" s="52">
        <v>21.67</v>
      </c>
      <c r="L32" s="53">
        <f t="shared" si="0"/>
        <v>5.25</v>
      </c>
    </row>
    <row r="33" spans="1:16" x14ac:dyDescent="0.35">
      <c r="A33" s="36">
        <v>3</v>
      </c>
      <c r="B33" s="35">
        <v>45849</v>
      </c>
      <c r="C33" s="35">
        <v>45872</v>
      </c>
      <c r="D33" s="52">
        <v>8</v>
      </c>
      <c r="E33" s="52">
        <v>5.92</v>
      </c>
      <c r="F33" s="52">
        <f>'Tabla jerseys'!$D41+'Tabla jerseys'!$E41</f>
        <v>17.920000000000002</v>
      </c>
      <c r="G33" s="36" t="s">
        <v>22</v>
      </c>
      <c r="H33" s="36" t="s">
        <v>23</v>
      </c>
      <c r="I33" s="36" t="s">
        <v>17</v>
      </c>
      <c r="J33" s="35">
        <v>45970</v>
      </c>
      <c r="K33" s="52">
        <v>21.68</v>
      </c>
      <c r="L33" s="53">
        <f t="shared" si="0"/>
        <v>3.759999999999998</v>
      </c>
    </row>
    <row r="34" spans="1:16" x14ac:dyDescent="0.35">
      <c r="A34" s="38">
        <v>3</v>
      </c>
      <c r="B34" s="37">
        <v>45849</v>
      </c>
      <c r="C34" s="35">
        <v>45881</v>
      </c>
      <c r="D34" s="54">
        <v>11</v>
      </c>
      <c r="E34" s="52">
        <v>5.92</v>
      </c>
      <c r="F34" s="52">
        <f>'Tabla jerseys'!$D27+'Tabla jerseys'!$E27</f>
        <v>16.920000000000002</v>
      </c>
      <c r="G34" s="36" t="s">
        <v>55</v>
      </c>
      <c r="H34" s="36" t="s">
        <v>56</v>
      </c>
      <c r="I34" s="36" t="s">
        <v>14</v>
      </c>
      <c r="J34" s="35">
        <v>45906</v>
      </c>
      <c r="K34" s="52">
        <v>34.880000000000003</v>
      </c>
      <c r="L34" s="53">
        <f t="shared" ref="L34:L46" si="1">K34-F34</f>
        <v>17.96</v>
      </c>
    </row>
    <row r="35" spans="1:16" x14ac:dyDescent="0.35">
      <c r="A35" s="36">
        <v>3</v>
      </c>
      <c r="B35" s="35">
        <v>45849</v>
      </c>
      <c r="C35" s="35">
        <v>45881</v>
      </c>
      <c r="D35" s="52">
        <v>9</v>
      </c>
      <c r="E35" s="52">
        <v>5.92</v>
      </c>
      <c r="F35" s="52">
        <f>'Tabla jerseys'!$D28+'Tabla jerseys'!$E28</f>
        <v>14.92</v>
      </c>
      <c r="G35" s="36" t="s">
        <v>34</v>
      </c>
      <c r="H35" s="36"/>
      <c r="I35" s="36" t="s">
        <v>24</v>
      </c>
      <c r="J35" s="35">
        <v>45905</v>
      </c>
      <c r="K35" s="52">
        <v>26.67</v>
      </c>
      <c r="L35" s="53">
        <f t="shared" si="1"/>
        <v>11.750000000000002</v>
      </c>
    </row>
    <row r="36" spans="1:16" x14ac:dyDescent="0.35">
      <c r="A36" s="38">
        <v>3</v>
      </c>
      <c r="B36" s="37">
        <v>45849</v>
      </c>
      <c r="C36" s="37">
        <v>45872</v>
      </c>
      <c r="D36" s="54">
        <v>11</v>
      </c>
      <c r="E36" s="54">
        <v>5.92</v>
      </c>
      <c r="F36" s="52">
        <f>'Tabla jerseys'!$D46+'Tabla jerseys'!$E46</f>
        <v>10.5</v>
      </c>
      <c r="G36" s="38" t="s">
        <v>43</v>
      </c>
      <c r="H36" s="38" t="s">
        <v>44</v>
      </c>
      <c r="I36" s="38">
        <v>26</v>
      </c>
      <c r="J36" s="37">
        <v>45999</v>
      </c>
      <c r="K36" s="52">
        <v>22</v>
      </c>
      <c r="L36" s="53">
        <f t="shared" si="1"/>
        <v>11.5</v>
      </c>
    </row>
    <row r="37" spans="1:16" x14ac:dyDescent="0.35">
      <c r="A37" s="36">
        <v>3</v>
      </c>
      <c r="B37" s="35">
        <v>45849</v>
      </c>
      <c r="C37" s="35">
        <v>45872</v>
      </c>
      <c r="D37" s="52">
        <v>9</v>
      </c>
      <c r="E37" s="52">
        <v>5.92</v>
      </c>
      <c r="F37" s="52">
        <f>'Tabla jerseys'!$D42+'Tabla jerseys'!$E42</f>
        <v>13.92</v>
      </c>
      <c r="G37" s="36" t="s">
        <v>41</v>
      </c>
      <c r="H37" s="36" t="s">
        <v>42</v>
      </c>
      <c r="I37" s="36">
        <v>24</v>
      </c>
      <c r="J37" s="36"/>
      <c r="K37" s="52"/>
      <c r="L37" s="53">
        <f t="shared" si="1"/>
        <v>-13.92</v>
      </c>
    </row>
    <row r="38" spans="1:16" x14ac:dyDescent="0.35">
      <c r="A38" s="36">
        <v>3</v>
      </c>
      <c r="B38" s="35">
        <v>45849</v>
      </c>
      <c r="C38" s="35">
        <v>45881</v>
      </c>
      <c r="D38" s="52">
        <v>12</v>
      </c>
      <c r="E38" s="52">
        <v>5.92</v>
      </c>
      <c r="F38" s="52">
        <f>'Tabla jerseys'!$D29+'Tabla jerseys'!$E29</f>
        <v>13.92</v>
      </c>
      <c r="G38" s="36" t="s">
        <v>15</v>
      </c>
      <c r="H38" s="36" t="s">
        <v>52</v>
      </c>
      <c r="I38" s="36" t="s">
        <v>14</v>
      </c>
      <c r="J38" s="35">
        <v>45899</v>
      </c>
      <c r="K38" s="52">
        <v>34.840000000000003</v>
      </c>
      <c r="L38" s="53">
        <f t="shared" si="1"/>
        <v>20.92</v>
      </c>
    </row>
    <row r="39" spans="1:16" x14ac:dyDescent="0.35">
      <c r="A39" s="36">
        <v>3</v>
      </c>
      <c r="B39" s="35">
        <v>45849</v>
      </c>
      <c r="C39" s="35">
        <v>45881</v>
      </c>
      <c r="D39" s="52">
        <v>10</v>
      </c>
      <c r="E39" s="52">
        <v>5.92</v>
      </c>
      <c r="F39" s="52">
        <f>'Tabla jerseys'!$D31+'Tabla jerseys'!$E31</f>
        <v>13.92</v>
      </c>
      <c r="G39" s="36" t="s">
        <v>15</v>
      </c>
      <c r="H39" s="36" t="s">
        <v>40</v>
      </c>
      <c r="I39" s="36" t="s">
        <v>24</v>
      </c>
      <c r="J39" s="39">
        <v>45890</v>
      </c>
      <c r="K39" s="52">
        <v>19.54</v>
      </c>
      <c r="L39" s="53">
        <f t="shared" si="1"/>
        <v>5.6199999999999992</v>
      </c>
      <c r="P39" t="s">
        <v>81</v>
      </c>
    </row>
    <row r="40" spans="1:16" x14ac:dyDescent="0.35">
      <c r="A40" s="36">
        <v>3</v>
      </c>
      <c r="B40" s="35">
        <v>45849</v>
      </c>
      <c r="C40" s="35">
        <v>45881</v>
      </c>
      <c r="D40" s="52">
        <v>12</v>
      </c>
      <c r="E40" s="52">
        <v>5.92</v>
      </c>
      <c r="F40" s="52">
        <f>'Tabla jerseys'!$D32+'Tabla jerseys'!$E32</f>
        <v>16.57</v>
      </c>
      <c r="G40" s="36" t="s">
        <v>51</v>
      </c>
      <c r="H40" s="36" t="s">
        <v>40</v>
      </c>
      <c r="I40" s="36" t="s">
        <v>14</v>
      </c>
      <c r="J40" s="39">
        <v>45890</v>
      </c>
      <c r="K40" s="52">
        <v>19.54</v>
      </c>
      <c r="L40" s="53">
        <f t="shared" si="1"/>
        <v>2.9699999999999989</v>
      </c>
    </row>
    <row r="41" spans="1:16" x14ac:dyDescent="0.35">
      <c r="A41" s="36">
        <v>3</v>
      </c>
      <c r="B41" s="35">
        <v>45849</v>
      </c>
      <c r="C41" s="35">
        <v>45881</v>
      </c>
      <c r="D41" s="52">
        <v>12</v>
      </c>
      <c r="E41" s="52">
        <v>5.92</v>
      </c>
      <c r="F41" s="52">
        <f>'Tabla jerseys'!$D33+'Tabla jerseys'!$E33</f>
        <v>13.92</v>
      </c>
      <c r="G41" s="36" t="s">
        <v>15</v>
      </c>
      <c r="H41" s="36" t="s">
        <v>40</v>
      </c>
      <c r="I41" s="36" t="s">
        <v>24</v>
      </c>
      <c r="J41" s="39">
        <v>45890</v>
      </c>
      <c r="K41" s="52">
        <v>19.54</v>
      </c>
      <c r="L41" s="53">
        <f t="shared" si="1"/>
        <v>5.6199999999999992</v>
      </c>
    </row>
    <row r="42" spans="1:16" x14ac:dyDescent="0.35">
      <c r="A42" s="36">
        <v>3</v>
      </c>
      <c r="B42" s="35">
        <v>45849</v>
      </c>
      <c r="C42" s="35">
        <v>45881</v>
      </c>
      <c r="D42" s="52">
        <v>8</v>
      </c>
      <c r="E42" s="52">
        <v>5.92</v>
      </c>
      <c r="F42" s="52">
        <f>'Tabla jerseys'!$D34+'Tabla jerseys'!$E34</f>
        <v>16.920000000000002</v>
      </c>
      <c r="G42" s="36" t="s">
        <v>31</v>
      </c>
      <c r="H42" s="36"/>
      <c r="I42" s="36" t="s">
        <v>24</v>
      </c>
      <c r="J42" s="35">
        <v>45886</v>
      </c>
      <c r="K42" s="52">
        <v>24.14</v>
      </c>
      <c r="L42" s="53">
        <f t="shared" si="1"/>
        <v>7.2199999999999989</v>
      </c>
    </row>
    <row r="43" spans="1:16" x14ac:dyDescent="0.35">
      <c r="A43" s="38">
        <v>3</v>
      </c>
      <c r="B43" s="37">
        <v>45849</v>
      </c>
      <c r="C43" s="35">
        <v>45881</v>
      </c>
      <c r="D43" s="54">
        <v>10.5</v>
      </c>
      <c r="E43" s="52">
        <v>5.92</v>
      </c>
      <c r="F43" s="52">
        <f>'Tabla jerseys'!$D35+'Tabla jerseys'!$E35</f>
        <v>14.92</v>
      </c>
      <c r="G43" s="36" t="s">
        <v>53</v>
      </c>
      <c r="H43" s="36" t="s">
        <v>54</v>
      </c>
      <c r="I43" s="36" t="s">
        <v>14</v>
      </c>
      <c r="J43" s="35">
        <v>45882</v>
      </c>
      <c r="K43" s="52">
        <v>29.8</v>
      </c>
      <c r="L43" s="53">
        <f t="shared" si="1"/>
        <v>14.88</v>
      </c>
    </row>
    <row r="44" spans="1:16" x14ac:dyDescent="0.35">
      <c r="A44" s="36">
        <v>3</v>
      </c>
      <c r="B44" s="35">
        <v>45849</v>
      </c>
      <c r="C44" s="35">
        <v>45881</v>
      </c>
      <c r="D44" s="52">
        <v>10.5</v>
      </c>
      <c r="E44" s="52">
        <v>5.92</v>
      </c>
      <c r="F44" s="52">
        <f>'Tabla jerseys'!$D36+'Tabla jerseys'!$E36</f>
        <v>16.920000000000002</v>
      </c>
      <c r="G44" s="36" t="s">
        <v>47</v>
      </c>
      <c r="H44" s="36" t="s">
        <v>48</v>
      </c>
      <c r="I44" s="36" t="s">
        <v>17</v>
      </c>
      <c r="J44" s="35">
        <v>45882</v>
      </c>
      <c r="K44" s="52">
        <v>37.67</v>
      </c>
      <c r="L44" s="53">
        <f t="shared" si="1"/>
        <v>20.75</v>
      </c>
    </row>
    <row r="45" spans="1:16" x14ac:dyDescent="0.35">
      <c r="A45" s="36">
        <v>3</v>
      </c>
      <c r="B45" s="35">
        <v>45849</v>
      </c>
      <c r="C45" s="35">
        <v>45881</v>
      </c>
      <c r="D45" s="52">
        <v>10.5</v>
      </c>
      <c r="E45" s="52">
        <v>5.92</v>
      </c>
      <c r="F45" s="52">
        <f>'Tabla jerseys'!$D37+'Tabla jerseys'!$E37</f>
        <v>14.92</v>
      </c>
      <c r="G45" s="36" t="s">
        <v>53</v>
      </c>
      <c r="H45" s="55" t="s">
        <v>54</v>
      </c>
      <c r="I45" s="36" t="s">
        <v>14</v>
      </c>
      <c r="J45" s="35">
        <v>45882</v>
      </c>
      <c r="K45" s="52">
        <v>34.979999999999997</v>
      </c>
      <c r="L45" s="53">
        <f t="shared" si="1"/>
        <v>20.059999999999995</v>
      </c>
    </row>
    <row r="46" spans="1:16" x14ac:dyDescent="0.35">
      <c r="A46" s="38">
        <v>3</v>
      </c>
      <c r="B46" s="37">
        <v>45849</v>
      </c>
      <c r="C46" s="35">
        <v>45872</v>
      </c>
      <c r="D46" s="54">
        <v>10.5</v>
      </c>
      <c r="E46" s="52"/>
      <c r="F46" s="52">
        <f>'Tabla jerseys'!$D38+'Tabla jerseys'!$E38</f>
        <v>17.920000000000002</v>
      </c>
      <c r="G46" s="36" t="s">
        <v>20</v>
      </c>
      <c r="H46" s="36" t="s">
        <v>21</v>
      </c>
      <c r="I46" s="36" t="s">
        <v>14</v>
      </c>
      <c r="J46" s="56">
        <v>45877</v>
      </c>
      <c r="K46" s="52">
        <v>29.62</v>
      </c>
      <c r="L46" s="53">
        <f t="shared" si="1"/>
        <v>11.7</v>
      </c>
    </row>
    <row r="47" spans="1:16" x14ac:dyDescent="0.35">
      <c r="A47" s="38">
        <v>3</v>
      </c>
      <c r="B47" s="37">
        <v>45849</v>
      </c>
      <c r="C47" s="35">
        <v>45881</v>
      </c>
      <c r="D47" s="54">
        <v>9</v>
      </c>
      <c r="E47" s="54">
        <v>5.92</v>
      </c>
      <c r="F47" s="52">
        <f>'Tabla jerseys'!$D44+'Tabla jerseys'!$E44</f>
        <v>16.420000000000002</v>
      </c>
      <c r="G47" s="38" t="s">
        <v>49</v>
      </c>
      <c r="H47" s="38" t="s">
        <v>50</v>
      </c>
      <c r="I47" s="38" t="s">
        <v>24</v>
      </c>
      <c r="J47" s="37">
        <v>46038</v>
      </c>
      <c r="K47" s="52">
        <v>22.71</v>
      </c>
      <c r="L47" s="53">
        <f t="shared" ref="L47:L78" si="2">K47-F47</f>
        <v>6.2899999999999991</v>
      </c>
    </row>
    <row r="48" spans="1:16" x14ac:dyDescent="0.35">
      <c r="A48" s="36">
        <v>4</v>
      </c>
      <c r="B48" s="35">
        <v>45873</v>
      </c>
      <c r="C48" s="35">
        <v>45893</v>
      </c>
      <c r="D48" s="52">
        <v>10.5</v>
      </c>
      <c r="E48" s="52">
        <v>5.33</v>
      </c>
      <c r="F48" s="52">
        <f>'Tabla jerseys'!$D49+'Tabla jerseys'!$E49</f>
        <v>0</v>
      </c>
      <c r="G48" s="36" t="s">
        <v>12</v>
      </c>
      <c r="H48" s="36"/>
      <c r="I48" s="36" t="s">
        <v>14</v>
      </c>
      <c r="J48" s="35">
        <v>45918</v>
      </c>
      <c r="K48" s="52">
        <v>32.29</v>
      </c>
      <c r="L48" s="53">
        <f t="shared" si="2"/>
        <v>32.29</v>
      </c>
    </row>
    <row r="49" spans="1:12" x14ac:dyDescent="0.35">
      <c r="A49" s="36">
        <v>4</v>
      </c>
      <c r="B49" s="35">
        <v>45873</v>
      </c>
      <c r="C49" s="35">
        <v>45893</v>
      </c>
      <c r="D49" s="52"/>
      <c r="E49" s="52"/>
      <c r="F49" s="52">
        <f>'Tabla jerseys'!$D48+'Tabla jerseys'!$E48</f>
        <v>15.83</v>
      </c>
      <c r="G49" s="36" t="s">
        <v>68</v>
      </c>
      <c r="H49" s="36" t="s">
        <v>44</v>
      </c>
      <c r="I49" s="36" t="s">
        <v>25</v>
      </c>
      <c r="J49" s="35">
        <v>45943</v>
      </c>
      <c r="K49" s="52">
        <v>37.909999999999997</v>
      </c>
      <c r="L49" s="53">
        <f t="shared" si="2"/>
        <v>22.08</v>
      </c>
    </row>
    <row r="50" spans="1:12" x14ac:dyDescent="0.35">
      <c r="A50" s="38">
        <v>4</v>
      </c>
      <c r="B50" s="37">
        <v>45873</v>
      </c>
      <c r="C50" s="37">
        <v>45893</v>
      </c>
      <c r="D50" s="54">
        <v>10.5</v>
      </c>
      <c r="E50" s="52">
        <v>5.33</v>
      </c>
      <c r="F50" s="52">
        <f>'Tabla jerseys'!$D50+'Tabla jerseys'!$E50</f>
        <v>15.83</v>
      </c>
      <c r="G50" s="36" t="s">
        <v>27</v>
      </c>
      <c r="H50" s="36"/>
      <c r="I50" s="36" t="s">
        <v>17</v>
      </c>
      <c r="J50" s="35">
        <v>45906</v>
      </c>
      <c r="K50" s="52">
        <v>32.200000000000003</v>
      </c>
      <c r="L50" s="53">
        <f t="shared" si="2"/>
        <v>16.370000000000005</v>
      </c>
    </row>
    <row r="51" spans="1:12" x14ac:dyDescent="0.35">
      <c r="A51" s="36">
        <v>4</v>
      </c>
      <c r="B51" s="35">
        <v>45873</v>
      </c>
      <c r="C51" s="35">
        <v>45893</v>
      </c>
      <c r="D51" s="52">
        <v>10.5</v>
      </c>
      <c r="E51" s="52"/>
      <c r="F51" s="52">
        <f>'Tabla jerseys'!$D51+'Tabla jerseys'!$E51</f>
        <v>10.5</v>
      </c>
      <c r="G51" s="36" t="s">
        <v>12</v>
      </c>
      <c r="H51" s="36" t="s">
        <v>18</v>
      </c>
      <c r="I51" s="36" t="s">
        <v>25</v>
      </c>
      <c r="J51" s="35">
        <v>45896</v>
      </c>
      <c r="K51" s="52">
        <v>34.07</v>
      </c>
      <c r="L51" s="53">
        <f t="shared" si="2"/>
        <v>23.57</v>
      </c>
    </row>
    <row r="52" spans="1:12" x14ac:dyDescent="0.35">
      <c r="A52" s="36">
        <v>4</v>
      </c>
      <c r="B52" s="35">
        <v>45873</v>
      </c>
      <c r="C52" s="35">
        <v>45893</v>
      </c>
      <c r="D52" s="52">
        <v>10.5</v>
      </c>
      <c r="E52" s="52">
        <v>5.33</v>
      </c>
      <c r="F52" s="52">
        <f>'Tabla jerseys'!$D52+'Tabla jerseys'!$E52</f>
        <v>15.83</v>
      </c>
      <c r="G52" s="36" t="s">
        <v>12</v>
      </c>
      <c r="H52" s="36" t="s">
        <v>26</v>
      </c>
      <c r="I52" s="36" t="s">
        <v>14</v>
      </c>
      <c r="J52" s="35">
        <v>45895</v>
      </c>
      <c r="K52" s="52">
        <v>32.29</v>
      </c>
      <c r="L52" s="53">
        <f t="shared" si="2"/>
        <v>16.46</v>
      </c>
    </row>
    <row r="53" spans="1:12" x14ac:dyDescent="0.35">
      <c r="A53" s="38">
        <v>4</v>
      </c>
      <c r="B53" s="37">
        <v>45873</v>
      </c>
      <c r="C53" s="37">
        <v>45893</v>
      </c>
      <c r="D53" s="54">
        <v>10.5</v>
      </c>
      <c r="E53" s="52">
        <v>5</v>
      </c>
      <c r="F53" s="52">
        <f>'Tabla jerseys'!$D53+'Tabla jerseys'!$E53</f>
        <v>15.5</v>
      </c>
      <c r="G53" s="36" t="s">
        <v>28</v>
      </c>
      <c r="H53" s="36" t="s">
        <v>29</v>
      </c>
      <c r="I53" s="36" t="s">
        <v>14</v>
      </c>
      <c r="J53" s="35">
        <v>45895</v>
      </c>
      <c r="K53" s="52">
        <v>32.29</v>
      </c>
      <c r="L53" s="53">
        <f t="shared" si="2"/>
        <v>16.79</v>
      </c>
    </row>
    <row r="54" spans="1:12" x14ac:dyDescent="0.35">
      <c r="A54" s="38">
        <v>5</v>
      </c>
      <c r="B54" s="37">
        <v>45887</v>
      </c>
      <c r="C54" s="35">
        <v>45914</v>
      </c>
      <c r="D54" s="54">
        <v>10.5</v>
      </c>
      <c r="E54" s="52">
        <v>4.1100000000000003</v>
      </c>
      <c r="F54" s="52">
        <f>'Tabla jerseys'!$D70+'Tabla jerseys'!$E70</f>
        <v>15.11</v>
      </c>
      <c r="G54" s="36" t="s">
        <v>32</v>
      </c>
      <c r="H54" s="36"/>
      <c r="I54" s="36" t="s">
        <v>14</v>
      </c>
      <c r="J54" s="35">
        <v>45974</v>
      </c>
      <c r="K54" s="52">
        <v>27.3</v>
      </c>
      <c r="L54" s="53">
        <f t="shared" si="2"/>
        <v>12.190000000000001</v>
      </c>
    </row>
    <row r="55" spans="1:12" x14ac:dyDescent="0.35">
      <c r="A55" s="38">
        <v>5</v>
      </c>
      <c r="B55" s="37">
        <v>45887</v>
      </c>
      <c r="C55" s="35">
        <v>45908</v>
      </c>
      <c r="D55" s="54">
        <v>11</v>
      </c>
      <c r="E55" s="52">
        <v>4.1100000000000003</v>
      </c>
      <c r="F55" s="52">
        <f>'Tabla jerseys'!$D67+'Tabla jerseys'!$E67</f>
        <v>14.61</v>
      </c>
      <c r="G55" s="36" t="s">
        <v>51</v>
      </c>
      <c r="H55" s="36" t="s">
        <v>16</v>
      </c>
      <c r="I55" s="36" t="s">
        <v>14</v>
      </c>
      <c r="J55" s="35">
        <v>45951</v>
      </c>
      <c r="K55" s="52">
        <v>35.22</v>
      </c>
      <c r="L55" s="53">
        <f t="shared" si="2"/>
        <v>20.61</v>
      </c>
    </row>
    <row r="56" spans="1:12" x14ac:dyDescent="0.35">
      <c r="A56" s="36">
        <v>5</v>
      </c>
      <c r="B56" s="35">
        <v>45887</v>
      </c>
      <c r="C56" s="35">
        <v>45908</v>
      </c>
      <c r="D56" s="52">
        <v>11</v>
      </c>
      <c r="E56" s="52">
        <v>4.1100000000000003</v>
      </c>
      <c r="F56" s="52">
        <f>'Tabla jerseys'!$D68+'Tabla jerseys'!$E68</f>
        <v>14.61</v>
      </c>
      <c r="G56" s="36" t="s">
        <v>51</v>
      </c>
      <c r="H56" s="36" t="s">
        <v>16</v>
      </c>
      <c r="I56" s="36" t="s">
        <v>14</v>
      </c>
      <c r="J56" s="35">
        <v>45951</v>
      </c>
      <c r="K56" s="52">
        <v>35.22</v>
      </c>
      <c r="L56" s="53">
        <f t="shared" si="2"/>
        <v>20.61</v>
      </c>
    </row>
    <row r="57" spans="1:12" x14ac:dyDescent="0.35">
      <c r="A57" s="36">
        <v>5</v>
      </c>
      <c r="B57" s="35">
        <v>45887</v>
      </c>
      <c r="C57" s="35">
        <v>45908</v>
      </c>
      <c r="D57" s="52">
        <v>11</v>
      </c>
      <c r="E57" s="52">
        <v>4.1100000000000003</v>
      </c>
      <c r="F57" s="52">
        <f>'Tabla jerseys'!$D54+'Tabla jerseys'!$E54</f>
        <v>14.61</v>
      </c>
      <c r="G57" s="36" t="s">
        <v>51</v>
      </c>
      <c r="H57" s="36" t="s">
        <v>16</v>
      </c>
      <c r="I57" s="36" t="s">
        <v>17</v>
      </c>
      <c r="J57" s="35">
        <v>45942</v>
      </c>
      <c r="K57" s="52">
        <v>32.270000000000003</v>
      </c>
      <c r="L57" s="53">
        <f t="shared" si="2"/>
        <v>17.660000000000004</v>
      </c>
    </row>
    <row r="58" spans="1:12" x14ac:dyDescent="0.35">
      <c r="A58" s="36">
        <v>5</v>
      </c>
      <c r="B58" s="35">
        <v>45887</v>
      </c>
      <c r="C58" s="35">
        <v>45914</v>
      </c>
      <c r="D58" s="52">
        <v>10.5</v>
      </c>
      <c r="E58" s="52">
        <v>4.1100000000000003</v>
      </c>
      <c r="F58" s="52">
        <f>'Tabla jerseys'!$D59+'Tabla jerseys'!$E59</f>
        <v>14.61</v>
      </c>
      <c r="G58" s="36" t="s">
        <v>45</v>
      </c>
      <c r="H58" s="36" t="s">
        <v>72</v>
      </c>
      <c r="I58" s="36" t="s">
        <v>87</v>
      </c>
      <c r="J58" s="35">
        <v>45915</v>
      </c>
      <c r="K58" s="52">
        <v>34</v>
      </c>
      <c r="L58" s="53">
        <f t="shared" si="2"/>
        <v>19.39</v>
      </c>
    </row>
    <row r="59" spans="1:12" x14ac:dyDescent="0.35">
      <c r="A59" s="36">
        <v>5</v>
      </c>
      <c r="B59" s="35">
        <v>45887</v>
      </c>
      <c r="C59" s="35">
        <v>45914</v>
      </c>
      <c r="D59" s="52">
        <v>10.5</v>
      </c>
      <c r="E59" s="52">
        <v>4.1100000000000003</v>
      </c>
      <c r="F59" s="52">
        <f>'Tabla jerseys'!$D60+'Tabla jerseys'!$E60</f>
        <v>16</v>
      </c>
      <c r="G59" s="36" t="s">
        <v>32</v>
      </c>
      <c r="H59" s="36"/>
      <c r="I59" s="36" t="s">
        <v>80</v>
      </c>
      <c r="J59" s="35">
        <v>45915</v>
      </c>
      <c r="K59" s="52">
        <v>27.22</v>
      </c>
      <c r="L59" s="53">
        <f t="shared" si="2"/>
        <v>11.219999999999999</v>
      </c>
    </row>
    <row r="60" spans="1:12" x14ac:dyDescent="0.35">
      <c r="A60" s="36">
        <v>5</v>
      </c>
      <c r="B60" s="35">
        <v>45887</v>
      </c>
      <c r="C60" s="35">
        <v>45908</v>
      </c>
      <c r="D60" s="52">
        <v>11</v>
      </c>
      <c r="E60" s="52">
        <v>5</v>
      </c>
      <c r="F60" s="52">
        <f>'Tabla jerseys'!$D64+'Tabla jerseys'!$E64</f>
        <v>14.61</v>
      </c>
      <c r="G60" s="36" t="s">
        <v>12</v>
      </c>
      <c r="H60" s="36" t="s">
        <v>13</v>
      </c>
      <c r="I60" s="36" t="s">
        <v>71</v>
      </c>
      <c r="J60" s="35">
        <v>45908</v>
      </c>
      <c r="K60" s="52">
        <v>32.200000000000003</v>
      </c>
      <c r="L60" s="53">
        <f t="shared" si="2"/>
        <v>17.590000000000003</v>
      </c>
    </row>
    <row r="61" spans="1:12" x14ac:dyDescent="0.35">
      <c r="A61" s="36">
        <v>5</v>
      </c>
      <c r="B61" s="35">
        <v>45887</v>
      </c>
      <c r="C61" s="35">
        <v>45914</v>
      </c>
      <c r="D61" s="52">
        <v>10.5</v>
      </c>
      <c r="E61" s="52">
        <v>4.1100000000000003</v>
      </c>
      <c r="F61" s="52">
        <f>'Tabla jerseys'!$D71+'Tabla jerseys'!$E71</f>
        <v>16.829999999999998</v>
      </c>
      <c r="G61" s="36" t="s">
        <v>67</v>
      </c>
      <c r="H61" s="36"/>
      <c r="I61" s="36" t="s">
        <v>14</v>
      </c>
      <c r="J61" s="35">
        <v>45989</v>
      </c>
      <c r="K61" s="52">
        <v>32.69</v>
      </c>
      <c r="L61" s="53">
        <f t="shared" si="2"/>
        <v>15.86</v>
      </c>
    </row>
    <row r="62" spans="1:12" x14ac:dyDescent="0.35">
      <c r="A62" s="36">
        <v>5</v>
      </c>
      <c r="B62" s="35">
        <v>45887</v>
      </c>
      <c r="C62" s="35">
        <v>45908</v>
      </c>
      <c r="D62" s="52">
        <v>10.5</v>
      </c>
      <c r="E62" s="52">
        <v>4.1100000000000003</v>
      </c>
      <c r="F62" s="52">
        <f>'Tabla jerseys'!$D66+'Tabla jerseys'!$E66</f>
        <v>19.11</v>
      </c>
      <c r="G62" s="36" t="s">
        <v>68</v>
      </c>
      <c r="H62" s="36"/>
      <c r="I62" s="36" t="s">
        <v>17</v>
      </c>
      <c r="J62" s="35">
        <v>45974</v>
      </c>
      <c r="K62" s="52">
        <v>32.76</v>
      </c>
      <c r="L62" s="53">
        <f t="shared" si="2"/>
        <v>13.649999999999999</v>
      </c>
    </row>
    <row r="63" spans="1:12" x14ac:dyDescent="0.35">
      <c r="A63" s="38">
        <v>5</v>
      </c>
      <c r="B63" s="37">
        <v>45887</v>
      </c>
      <c r="C63" s="35">
        <v>45914</v>
      </c>
      <c r="D63" s="54">
        <v>10.5</v>
      </c>
      <c r="E63" s="52">
        <v>4.1100000000000003</v>
      </c>
      <c r="F63" s="52">
        <f>'Tabla jerseys'!$D69+'Tabla jerseys'!$E69</f>
        <v>15.11</v>
      </c>
      <c r="G63" s="36" t="s">
        <v>67</v>
      </c>
      <c r="H63" s="36"/>
      <c r="I63" s="36" t="s">
        <v>14</v>
      </c>
      <c r="J63" s="35">
        <v>45961</v>
      </c>
      <c r="K63" s="52">
        <v>29.62</v>
      </c>
      <c r="L63" s="53">
        <f t="shared" si="2"/>
        <v>14.510000000000002</v>
      </c>
    </row>
    <row r="64" spans="1:12" x14ac:dyDescent="0.35">
      <c r="A64" s="36">
        <v>5</v>
      </c>
      <c r="B64" s="35">
        <v>45887</v>
      </c>
      <c r="C64" s="35">
        <v>45914</v>
      </c>
      <c r="D64" s="52">
        <v>10.5</v>
      </c>
      <c r="E64" s="52">
        <v>4.1100000000000003</v>
      </c>
      <c r="F64" s="52">
        <f>'Tabla jerseys'!$D72+'Tabla jerseys'!$E72</f>
        <v>14.61</v>
      </c>
      <c r="G64" s="35" t="s">
        <v>27</v>
      </c>
      <c r="H64" s="36"/>
      <c r="I64" s="36" t="s">
        <v>14</v>
      </c>
      <c r="J64" s="35">
        <v>45946</v>
      </c>
      <c r="K64" s="52">
        <v>32.51</v>
      </c>
      <c r="L64" s="53">
        <f t="shared" si="2"/>
        <v>17.899999999999999</v>
      </c>
    </row>
    <row r="65" spans="1:13" x14ac:dyDescent="0.35">
      <c r="A65" s="38">
        <v>5</v>
      </c>
      <c r="B65" s="37">
        <v>45887</v>
      </c>
      <c r="C65" s="35">
        <v>45914</v>
      </c>
      <c r="D65" s="54">
        <v>10.5</v>
      </c>
      <c r="E65" s="52">
        <v>4.1100000000000003</v>
      </c>
      <c r="F65" s="52">
        <f>'Tabla jerseys'!$D55+'Tabla jerseys'!$E55</f>
        <v>15.11</v>
      </c>
      <c r="G65" s="36" t="s">
        <v>67</v>
      </c>
      <c r="H65" s="36"/>
      <c r="I65" s="36" t="s">
        <v>24</v>
      </c>
      <c r="J65" s="35">
        <v>45933</v>
      </c>
      <c r="K65" s="52">
        <v>27.22</v>
      </c>
      <c r="L65" s="53">
        <f t="shared" si="2"/>
        <v>12.11</v>
      </c>
    </row>
    <row r="66" spans="1:13" x14ac:dyDescent="0.35">
      <c r="A66" s="38">
        <v>5</v>
      </c>
      <c r="B66" s="37">
        <v>45887</v>
      </c>
      <c r="C66" s="35">
        <v>45914</v>
      </c>
      <c r="D66" s="54">
        <v>15</v>
      </c>
      <c r="E66" s="52">
        <v>4.1100000000000003</v>
      </c>
      <c r="F66" s="52">
        <f>'Tabla jerseys'!$D56+'Tabla jerseys'!$E56</f>
        <v>15.11</v>
      </c>
      <c r="G66" s="36" t="s">
        <v>70</v>
      </c>
      <c r="H66" s="36"/>
      <c r="I66" s="36" t="s">
        <v>74</v>
      </c>
      <c r="J66" s="35">
        <v>45931</v>
      </c>
      <c r="K66" s="52">
        <v>31.97</v>
      </c>
      <c r="L66" s="53">
        <f t="shared" si="2"/>
        <v>16.86</v>
      </c>
      <c r="M66" s="3"/>
    </row>
    <row r="67" spans="1:13" x14ac:dyDescent="0.35">
      <c r="A67" s="36">
        <v>5</v>
      </c>
      <c r="B67" s="35">
        <v>45887</v>
      </c>
      <c r="C67" s="35">
        <v>45908</v>
      </c>
      <c r="D67" s="52">
        <v>10.5</v>
      </c>
      <c r="E67" s="52">
        <v>4.1100000000000003</v>
      </c>
      <c r="F67" s="52">
        <f>'Tabla jerseys'!$D57+'Tabla jerseys'!$E57</f>
        <v>15.11</v>
      </c>
      <c r="G67" s="36" t="s">
        <v>68</v>
      </c>
      <c r="H67" s="36"/>
      <c r="I67" s="36" t="s">
        <v>24</v>
      </c>
      <c r="J67" s="35">
        <v>45923</v>
      </c>
      <c r="K67" s="52">
        <v>29.9</v>
      </c>
      <c r="L67" s="53">
        <f t="shared" si="2"/>
        <v>14.79</v>
      </c>
      <c r="M67" s="3"/>
    </row>
    <row r="68" spans="1:13" x14ac:dyDescent="0.35">
      <c r="A68" s="36">
        <v>5</v>
      </c>
      <c r="B68" s="35">
        <v>45887</v>
      </c>
      <c r="C68" s="35">
        <v>45914</v>
      </c>
      <c r="D68" s="52">
        <v>10.5</v>
      </c>
      <c r="E68" s="52">
        <v>4.1100000000000003</v>
      </c>
      <c r="F68" s="52">
        <f>'Tabla jerseys'!$D58+'Tabla jerseys'!$E58</f>
        <v>14.61</v>
      </c>
      <c r="G68" s="36" t="s">
        <v>67</v>
      </c>
      <c r="H68" s="36"/>
      <c r="I68" s="36" t="s">
        <v>73</v>
      </c>
      <c r="J68" s="35">
        <v>45919</v>
      </c>
      <c r="K68" s="52">
        <v>27.22</v>
      </c>
      <c r="L68" s="53">
        <f t="shared" si="2"/>
        <v>12.61</v>
      </c>
    </row>
    <row r="69" spans="1:13" x14ac:dyDescent="0.35">
      <c r="A69" s="36">
        <v>5</v>
      </c>
      <c r="B69" s="35">
        <v>45887</v>
      </c>
      <c r="C69" s="35">
        <v>45908</v>
      </c>
      <c r="D69" s="52">
        <v>11</v>
      </c>
      <c r="E69" s="52">
        <v>4.1100000000000003</v>
      </c>
      <c r="F69" s="52">
        <f>'Tabla jerseys'!$D61+'Tabla jerseys'!$E61</f>
        <v>14.61</v>
      </c>
      <c r="G69" s="36" t="s">
        <v>68</v>
      </c>
      <c r="H69" s="36" t="s">
        <v>13</v>
      </c>
      <c r="I69" s="36" t="s">
        <v>14</v>
      </c>
      <c r="J69" s="35">
        <v>45913</v>
      </c>
      <c r="K69" s="52">
        <v>37.96</v>
      </c>
      <c r="L69" s="53">
        <f t="shared" si="2"/>
        <v>23.35</v>
      </c>
    </row>
    <row r="70" spans="1:13" x14ac:dyDescent="0.35">
      <c r="A70" s="36">
        <v>5</v>
      </c>
      <c r="B70" s="35">
        <v>45887</v>
      </c>
      <c r="C70" s="35">
        <v>45908</v>
      </c>
      <c r="D70" s="52">
        <v>11</v>
      </c>
      <c r="E70" s="52">
        <v>4.1100000000000003</v>
      </c>
      <c r="F70" s="52">
        <f>'Tabla jerseys'!$D62+'Tabla jerseys'!$E62</f>
        <v>14.61</v>
      </c>
      <c r="G70" s="36" t="s">
        <v>68</v>
      </c>
      <c r="H70" s="36" t="s">
        <v>13</v>
      </c>
      <c r="I70" s="36" t="s">
        <v>14</v>
      </c>
      <c r="J70" s="35">
        <v>45910</v>
      </c>
      <c r="K70" s="52">
        <v>37.96</v>
      </c>
      <c r="L70" s="53">
        <f t="shared" si="2"/>
        <v>23.35</v>
      </c>
    </row>
    <row r="71" spans="1:13" x14ac:dyDescent="0.35">
      <c r="A71" s="36">
        <v>5</v>
      </c>
      <c r="B71" s="35">
        <v>45887</v>
      </c>
      <c r="C71" s="35">
        <v>45908</v>
      </c>
      <c r="D71" s="52">
        <v>11.5</v>
      </c>
      <c r="E71" s="52">
        <v>5.33</v>
      </c>
      <c r="F71" s="52">
        <f>'Tabla jerseys'!$D63+'Tabla jerseys'!$E63</f>
        <v>14.61</v>
      </c>
      <c r="G71" s="36" t="s">
        <v>84</v>
      </c>
      <c r="H71" s="36"/>
      <c r="I71" s="36" t="s">
        <v>24</v>
      </c>
      <c r="J71" s="35">
        <v>45908</v>
      </c>
      <c r="K71" s="52">
        <v>26.82</v>
      </c>
      <c r="L71" s="53">
        <f t="shared" si="2"/>
        <v>12.21</v>
      </c>
    </row>
    <row r="72" spans="1:13" x14ac:dyDescent="0.35">
      <c r="A72" s="36">
        <v>5</v>
      </c>
      <c r="B72" s="35">
        <v>45887</v>
      </c>
      <c r="C72" s="35">
        <v>45908</v>
      </c>
      <c r="D72" s="52">
        <v>10.5</v>
      </c>
      <c r="E72" s="52">
        <v>4.1100000000000003</v>
      </c>
      <c r="F72" s="52">
        <f>'Tabla jerseys'!$D65+'Tabla jerseys'!$E65</f>
        <v>14.61</v>
      </c>
      <c r="G72" s="36" t="s">
        <v>69</v>
      </c>
      <c r="H72" s="36" t="s">
        <v>75</v>
      </c>
      <c r="I72" s="36" t="s">
        <v>14</v>
      </c>
      <c r="J72" s="35">
        <v>45908</v>
      </c>
      <c r="K72" s="52">
        <v>26.82</v>
      </c>
      <c r="L72" s="53">
        <f t="shared" si="2"/>
        <v>12.21</v>
      </c>
    </row>
    <row r="73" spans="1:13" x14ac:dyDescent="0.35">
      <c r="A73" s="36">
        <v>6</v>
      </c>
      <c r="B73" s="35">
        <v>45892</v>
      </c>
      <c r="C73" s="35">
        <v>45908</v>
      </c>
      <c r="D73" s="52">
        <v>10.5</v>
      </c>
      <c r="E73" s="52">
        <v>6.25</v>
      </c>
      <c r="F73" s="52">
        <f>'Tabla jerseys'!$D75+'Tabla jerseys'!$E75</f>
        <v>16.75</v>
      </c>
      <c r="G73" s="36" t="s">
        <v>15</v>
      </c>
      <c r="H73" s="36" t="s">
        <v>16</v>
      </c>
      <c r="I73" s="36" t="s">
        <v>14</v>
      </c>
      <c r="J73" s="35">
        <v>45989</v>
      </c>
      <c r="K73" s="52">
        <v>32.89</v>
      </c>
      <c r="L73" s="53">
        <f t="shared" si="2"/>
        <v>16.14</v>
      </c>
    </row>
    <row r="74" spans="1:13" x14ac:dyDescent="0.35">
      <c r="A74" s="36">
        <v>6</v>
      </c>
      <c r="B74" s="35">
        <v>45892</v>
      </c>
      <c r="C74" s="35">
        <v>45908</v>
      </c>
      <c r="D74" s="52">
        <v>10.5</v>
      </c>
      <c r="E74" s="52">
        <v>6.25</v>
      </c>
      <c r="F74" s="52">
        <f>'Tabla jerseys'!$D74+'Tabla jerseys'!$E74</f>
        <v>16.75</v>
      </c>
      <c r="G74" s="36" t="s">
        <v>15</v>
      </c>
      <c r="H74" s="36" t="s">
        <v>16</v>
      </c>
      <c r="I74" s="36" t="s">
        <v>24</v>
      </c>
      <c r="J74" s="35">
        <v>45951</v>
      </c>
      <c r="K74" s="52">
        <v>35.42</v>
      </c>
      <c r="L74" s="53">
        <f t="shared" si="2"/>
        <v>18.670000000000002</v>
      </c>
    </row>
    <row r="75" spans="1:13" x14ac:dyDescent="0.35">
      <c r="A75" s="36">
        <v>6</v>
      </c>
      <c r="B75" s="35">
        <v>45892</v>
      </c>
      <c r="C75" s="35">
        <v>45908</v>
      </c>
      <c r="D75" s="52">
        <v>10.5</v>
      </c>
      <c r="E75" s="52">
        <v>6.25</v>
      </c>
      <c r="F75" s="52">
        <f>'Tabla jerseys'!$D73+'Tabla jerseys'!$E73</f>
        <v>16.75</v>
      </c>
      <c r="G75" s="36" t="s">
        <v>15</v>
      </c>
      <c r="H75" s="36" t="s">
        <v>16</v>
      </c>
      <c r="I75" s="36" t="s">
        <v>24</v>
      </c>
      <c r="J75" s="35">
        <v>45916</v>
      </c>
      <c r="K75" s="52">
        <v>35.42</v>
      </c>
      <c r="L75" s="53">
        <f t="shared" si="2"/>
        <v>18.670000000000002</v>
      </c>
    </row>
    <row r="76" spans="1:13" x14ac:dyDescent="0.35">
      <c r="A76" s="36">
        <v>6</v>
      </c>
      <c r="B76" s="35">
        <v>45892</v>
      </c>
      <c r="C76" s="35">
        <v>45908</v>
      </c>
      <c r="D76" s="52">
        <v>10.5</v>
      </c>
      <c r="E76" s="52">
        <v>6.25</v>
      </c>
      <c r="F76" s="52">
        <f>'Tabla jerseys'!$D76+'Tabla jerseys'!$E76</f>
        <v>16.75</v>
      </c>
      <c r="G76" s="36" t="s">
        <v>15</v>
      </c>
      <c r="H76" s="36" t="s">
        <v>16</v>
      </c>
      <c r="I76" s="36" t="s">
        <v>14</v>
      </c>
      <c r="J76" s="35"/>
      <c r="K76" s="52"/>
      <c r="L76" s="53">
        <f t="shared" si="2"/>
        <v>-16.75</v>
      </c>
    </row>
    <row r="77" spans="1:13" x14ac:dyDescent="0.35">
      <c r="A77" s="36">
        <v>7</v>
      </c>
      <c r="B77" s="35">
        <v>45897</v>
      </c>
      <c r="C77" s="35"/>
      <c r="D77" s="52">
        <v>11.5</v>
      </c>
      <c r="E77" s="52">
        <v>5.33</v>
      </c>
      <c r="F77" s="52">
        <f>'Tabla jerseys'!$D87+'Tabla jerseys'!$E87</f>
        <v>15.33</v>
      </c>
      <c r="G77" s="36" t="s">
        <v>51</v>
      </c>
      <c r="H77" s="36" t="s">
        <v>16</v>
      </c>
      <c r="I77" s="36" t="s">
        <v>24</v>
      </c>
      <c r="J77" s="35">
        <v>45966</v>
      </c>
      <c r="K77" s="52">
        <v>34.979999999999997</v>
      </c>
      <c r="L77" s="53">
        <f t="shared" si="2"/>
        <v>19.649999999999999</v>
      </c>
    </row>
    <row r="78" spans="1:13" x14ac:dyDescent="0.35">
      <c r="A78" s="36">
        <v>7</v>
      </c>
      <c r="B78" s="35">
        <v>45897</v>
      </c>
      <c r="C78" s="35"/>
      <c r="D78" s="52">
        <v>11.5</v>
      </c>
      <c r="E78" s="52">
        <v>5.33</v>
      </c>
      <c r="F78" s="52">
        <f>'Tabla jerseys'!$D88+'Tabla jerseys'!$E88</f>
        <v>15.33</v>
      </c>
      <c r="G78" s="36" t="s">
        <v>51</v>
      </c>
      <c r="H78" s="36" t="s">
        <v>16</v>
      </c>
      <c r="I78" s="36" t="s">
        <v>24</v>
      </c>
      <c r="J78" s="35">
        <v>45951</v>
      </c>
      <c r="K78" s="52">
        <v>35.22</v>
      </c>
      <c r="L78" s="53">
        <f t="shared" si="2"/>
        <v>19.89</v>
      </c>
    </row>
    <row r="79" spans="1:13" x14ac:dyDescent="0.35">
      <c r="A79" s="36">
        <v>7</v>
      </c>
      <c r="B79" s="35">
        <v>45897</v>
      </c>
      <c r="C79" s="35"/>
      <c r="D79" s="52">
        <v>11.5</v>
      </c>
      <c r="E79" s="52">
        <v>5.33</v>
      </c>
      <c r="F79" s="52">
        <f>'Tabla jerseys'!$D77+'Tabla jerseys'!$E77</f>
        <v>16.829999999999998</v>
      </c>
      <c r="G79" s="36" t="s">
        <v>51</v>
      </c>
      <c r="H79" s="36" t="s">
        <v>16</v>
      </c>
      <c r="I79" s="36" t="s">
        <v>17</v>
      </c>
      <c r="J79" s="35">
        <v>45942</v>
      </c>
      <c r="K79" s="52">
        <v>32.5</v>
      </c>
      <c r="L79" s="53">
        <f t="shared" ref="L79:L110" si="3">K79-F79</f>
        <v>15.670000000000002</v>
      </c>
    </row>
    <row r="80" spans="1:13" x14ac:dyDescent="0.35">
      <c r="A80" s="36">
        <v>7</v>
      </c>
      <c r="B80" s="35">
        <v>45897</v>
      </c>
      <c r="C80" s="35"/>
      <c r="D80" s="52">
        <v>8.5</v>
      </c>
      <c r="E80" s="52">
        <v>5.33</v>
      </c>
      <c r="F80" s="52">
        <f>'Tabla jerseys'!$D78+'Tabla jerseys'!$E78</f>
        <v>16.829999999999998</v>
      </c>
      <c r="G80" s="36" t="s">
        <v>34</v>
      </c>
      <c r="H80" s="36"/>
      <c r="I80" s="36" t="s">
        <v>78</v>
      </c>
      <c r="J80" s="35">
        <v>45926</v>
      </c>
      <c r="K80" s="52">
        <v>26.75</v>
      </c>
      <c r="L80" s="53">
        <f t="shared" si="3"/>
        <v>9.9200000000000017</v>
      </c>
    </row>
    <row r="81" spans="1:12" x14ac:dyDescent="0.35">
      <c r="A81" s="36">
        <v>7</v>
      </c>
      <c r="B81" s="35">
        <v>45897</v>
      </c>
      <c r="C81" s="35"/>
      <c r="D81" s="52">
        <v>10</v>
      </c>
      <c r="E81" s="52">
        <v>5.33</v>
      </c>
      <c r="F81" s="52">
        <f>'Tabla jerseys'!$D79+'Tabla jerseys'!$E79</f>
        <v>16.829999999999998</v>
      </c>
      <c r="G81" s="36" t="s">
        <v>34</v>
      </c>
      <c r="H81" s="36"/>
      <c r="I81" s="36" t="s">
        <v>86</v>
      </c>
      <c r="J81" s="35">
        <v>45926</v>
      </c>
      <c r="K81" s="52">
        <v>26.75</v>
      </c>
      <c r="L81" s="53">
        <f t="shared" si="3"/>
        <v>9.9200000000000017</v>
      </c>
    </row>
    <row r="82" spans="1:12" x14ac:dyDescent="0.35">
      <c r="A82" s="36">
        <v>7</v>
      </c>
      <c r="B82" s="35">
        <v>45897</v>
      </c>
      <c r="C82" s="35"/>
      <c r="D82" s="52">
        <v>10</v>
      </c>
      <c r="E82" s="52">
        <v>5.33</v>
      </c>
      <c r="F82" s="52">
        <f>'Tabla jerseys'!$D80+'Tabla jerseys'!$E80</f>
        <v>13.83</v>
      </c>
      <c r="G82" s="36" t="s">
        <v>34</v>
      </c>
      <c r="H82" s="36"/>
      <c r="I82" s="36" t="s">
        <v>85</v>
      </c>
      <c r="J82" s="35">
        <v>45926</v>
      </c>
      <c r="K82" s="52">
        <v>26.75</v>
      </c>
      <c r="L82" s="53">
        <f t="shared" si="3"/>
        <v>12.92</v>
      </c>
    </row>
    <row r="83" spans="1:12" x14ac:dyDescent="0.35">
      <c r="A83" s="36">
        <v>7</v>
      </c>
      <c r="B83" s="35">
        <v>45897</v>
      </c>
      <c r="C83" s="35"/>
      <c r="D83" s="52"/>
      <c r="E83" s="52"/>
      <c r="F83" s="52">
        <f>'Tabla jerseys'!$D83+'Tabla jerseys'!$E83</f>
        <v>0</v>
      </c>
      <c r="G83" s="36" t="s">
        <v>30</v>
      </c>
      <c r="H83" s="36"/>
      <c r="I83" s="36" t="s">
        <v>14</v>
      </c>
      <c r="J83" s="35">
        <v>45921</v>
      </c>
      <c r="K83" s="52">
        <v>26.97</v>
      </c>
      <c r="L83" s="53">
        <f t="shared" si="3"/>
        <v>26.97</v>
      </c>
    </row>
    <row r="84" spans="1:12" x14ac:dyDescent="0.35">
      <c r="A84" s="36">
        <v>7</v>
      </c>
      <c r="B84" s="35">
        <v>45897</v>
      </c>
      <c r="C84" s="35"/>
      <c r="D84" s="52">
        <v>10.5</v>
      </c>
      <c r="E84" s="52">
        <v>5.33</v>
      </c>
      <c r="F84" s="52">
        <f>'Tabla jerseys'!$D85+'Tabla jerseys'!$E85</f>
        <v>15.33</v>
      </c>
      <c r="G84" s="36" t="s">
        <v>45</v>
      </c>
      <c r="H84" s="36" t="s">
        <v>46</v>
      </c>
      <c r="I84" s="36" t="s">
        <v>78</v>
      </c>
      <c r="J84" s="35">
        <v>45920</v>
      </c>
      <c r="K84" s="52">
        <v>33</v>
      </c>
      <c r="L84" s="53">
        <f t="shared" si="3"/>
        <v>17.670000000000002</v>
      </c>
    </row>
    <row r="85" spans="1:12" x14ac:dyDescent="0.35">
      <c r="A85" s="36">
        <v>7</v>
      </c>
      <c r="B85" s="35">
        <v>45897</v>
      </c>
      <c r="C85" s="35"/>
      <c r="D85" s="52">
        <v>10</v>
      </c>
      <c r="E85" s="52">
        <v>5.33</v>
      </c>
      <c r="F85" s="52">
        <f>'Tabla jerseys'!$D89+'Tabla jerseys'!$E89</f>
        <v>15.83</v>
      </c>
      <c r="G85" s="36" t="s">
        <v>27</v>
      </c>
      <c r="H85" s="36"/>
      <c r="I85" s="36" t="s">
        <v>14</v>
      </c>
      <c r="J85" s="35">
        <v>45951</v>
      </c>
      <c r="K85" s="52">
        <v>32.51</v>
      </c>
      <c r="L85" s="53">
        <f t="shared" si="3"/>
        <v>16.68</v>
      </c>
    </row>
    <row r="86" spans="1:12" x14ac:dyDescent="0.35">
      <c r="A86" s="36">
        <v>7</v>
      </c>
      <c r="B86" s="35">
        <v>45897</v>
      </c>
      <c r="C86" s="35"/>
      <c r="D86" s="52">
        <v>13</v>
      </c>
      <c r="E86" s="52">
        <v>5.33</v>
      </c>
      <c r="F86" s="52">
        <f>'Tabla jerseys'!$D81+'Tabla jerseys'!$E81</f>
        <v>15.33</v>
      </c>
      <c r="G86" s="36" t="s">
        <v>39</v>
      </c>
      <c r="H86" s="36"/>
      <c r="I86" s="36"/>
      <c r="J86" s="35">
        <v>45925</v>
      </c>
      <c r="K86" s="52">
        <v>33</v>
      </c>
      <c r="L86" s="53">
        <f t="shared" si="3"/>
        <v>17.670000000000002</v>
      </c>
    </row>
    <row r="87" spans="1:12" x14ac:dyDescent="0.35">
      <c r="A87" s="36">
        <v>7</v>
      </c>
      <c r="B87" s="35">
        <v>45897</v>
      </c>
      <c r="C87" s="35"/>
      <c r="D87" s="52">
        <v>10</v>
      </c>
      <c r="E87" s="52">
        <v>5.33</v>
      </c>
      <c r="F87" s="52">
        <f>'Tabla jerseys'!$D82+'Tabla jerseys'!$E82</f>
        <v>15.33</v>
      </c>
      <c r="G87" s="36" t="s">
        <v>27</v>
      </c>
      <c r="H87" s="36"/>
      <c r="I87" s="36" t="s">
        <v>25</v>
      </c>
      <c r="J87" s="35">
        <v>45924</v>
      </c>
      <c r="K87" s="52">
        <v>34.840000000000003</v>
      </c>
      <c r="L87" s="53">
        <f t="shared" si="3"/>
        <v>19.510000000000005</v>
      </c>
    </row>
    <row r="88" spans="1:12" x14ac:dyDescent="0.35">
      <c r="A88" s="36">
        <v>7</v>
      </c>
      <c r="B88" s="35">
        <v>45897</v>
      </c>
      <c r="C88" s="35"/>
      <c r="D88" s="52">
        <v>10</v>
      </c>
      <c r="E88" s="52">
        <v>5.33</v>
      </c>
      <c r="F88" s="52">
        <f>'Tabla jerseys'!$D84+'Tabla jerseys'!$E84</f>
        <v>15.83</v>
      </c>
      <c r="G88" s="36" t="s">
        <v>77</v>
      </c>
      <c r="H88" s="36" t="s">
        <v>79</v>
      </c>
      <c r="I88" s="36" t="s">
        <v>78</v>
      </c>
      <c r="J88" s="35">
        <v>45920</v>
      </c>
      <c r="K88" s="52">
        <v>33</v>
      </c>
      <c r="L88" s="53">
        <f t="shared" si="3"/>
        <v>17.170000000000002</v>
      </c>
    </row>
    <row r="89" spans="1:12" x14ac:dyDescent="0.35">
      <c r="A89" s="36">
        <v>7</v>
      </c>
      <c r="B89" s="35">
        <v>45897</v>
      </c>
      <c r="C89" s="35"/>
      <c r="D89" s="52">
        <v>10.5</v>
      </c>
      <c r="E89" s="52">
        <v>5.33</v>
      </c>
      <c r="F89" s="52">
        <f>'Tabla jerseys'!$D86+'Tabla jerseys'!$E86</f>
        <v>18.329999999999998</v>
      </c>
      <c r="G89" s="36" t="s">
        <v>76</v>
      </c>
      <c r="H89" s="36"/>
      <c r="I89" s="36" t="s">
        <v>78</v>
      </c>
      <c r="J89" s="35">
        <v>45920</v>
      </c>
      <c r="K89" s="52">
        <v>33</v>
      </c>
      <c r="L89" s="53">
        <f t="shared" si="3"/>
        <v>14.670000000000002</v>
      </c>
    </row>
    <row r="90" spans="1:12" x14ac:dyDescent="0.35">
      <c r="A90" s="48">
        <v>8</v>
      </c>
      <c r="B90" s="35">
        <v>45910</v>
      </c>
      <c r="C90" s="35"/>
      <c r="D90" s="52">
        <v>8.8000000000000007</v>
      </c>
      <c r="E90" s="52">
        <v>4.1100000000000003</v>
      </c>
      <c r="F90" s="52">
        <f>'Tabla jerseys'!$D99+'Tabla jerseys'!$E99</f>
        <v>12.91</v>
      </c>
      <c r="G90" s="36" t="s">
        <v>92</v>
      </c>
      <c r="H90" s="36"/>
      <c r="I90" s="36" t="s">
        <v>17</v>
      </c>
      <c r="J90" s="35">
        <v>45992</v>
      </c>
      <c r="K90" s="52">
        <v>27</v>
      </c>
      <c r="L90" s="53">
        <f t="shared" si="3"/>
        <v>14.09</v>
      </c>
    </row>
    <row r="91" spans="1:12" x14ac:dyDescent="0.35">
      <c r="A91" s="48">
        <v>8</v>
      </c>
      <c r="B91" s="35">
        <v>45910</v>
      </c>
      <c r="C91" s="35"/>
      <c r="D91" s="52">
        <v>8.8000000000000007</v>
      </c>
      <c r="E91" s="52">
        <v>4.1100000000000003</v>
      </c>
      <c r="F91" s="52">
        <f>'Tabla jerseys'!$D98+'Tabla jerseys'!$E98</f>
        <v>12.91</v>
      </c>
      <c r="G91" s="36" t="s">
        <v>92</v>
      </c>
      <c r="H91" s="36"/>
      <c r="I91" s="36" t="s">
        <v>14</v>
      </c>
      <c r="J91" s="35">
        <v>45989</v>
      </c>
      <c r="K91" s="52">
        <v>27.33</v>
      </c>
      <c r="L91" s="53">
        <f t="shared" si="3"/>
        <v>14.419999999999998</v>
      </c>
    </row>
    <row r="92" spans="1:12" x14ac:dyDescent="0.35">
      <c r="A92" s="48">
        <v>8</v>
      </c>
      <c r="B92" s="35">
        <v>45910</v>
      </c>
      <c r="C92" s="35"/>
      <c r="D92" s="52">
        <v>8.8000000000000007</v>
      </c>
      <c r="E92" s="52">
        <v>4.1100000000000003</v>
      </c>
      <c r="F92" s="52">
        <f>'Tabla jerseys'!$D97+'Tabla jerseys'!$E97</f>
        <v>12.91</v>
      </c>
      <c r="G92" s="36" t="s">
        <v>93</v>
      </c>
      <c r="H92" s="36"/>
      <c r="I92" s="36" t="s">
        <v>24</v>
      </c>
      <c r="J92" s="35">
        <v>45968</v>
      </c>
      <c r="K92" s="52">
        <v>29.61</v>
      </c>
      <c r="L92" s="53">
        <f t="shared" si="3"/>
        <v>16.7</v>
      </c>
    </row>
    <row r="93" spans="1:12" x14ac:dyDescent="0.35">
      <c r="A93" s="48">
        <v>8</v>
      </c>
      <c r="B93" s="35">
        <v>45910</v>
      </c>
      <c r="C93" s="35"/>
      <c r="D93" s="52">
        <v>8.8000000000000007</v>
      </c>
      <c r="E93" s="52">
        <v>4.1100000000000003</v>
      </c>
      <c r="F93" s="52">
        <f>'Tabla jerseys'!$D100+'Tabla jerseys'!$E100</f>
        <v>22.33</v>
      </c>
      <c r="G93" s="36" t="s">
        <v>94</v>
      </c>
      <c r="H93" s="36"/>
      <c r="I93" s="36" t="s">
        <v>17</v>
      </c>
      <c r="J93" s="35">
        <v>45967</v>
      </c>
      <c r="K93" s="52">
        <v>35.49</v>
      </c>
      <c r="L93" s="53">
        <f t="shared" si="3"/>
        <v>13.160000000000004</v>
      </c>
    </row>
    <row r="94" spans="1:12" x14ac:dyDescent="0.35">
      <c r="A94" s="48">
        <v>8</v>
      </c>
      <c r="B94" s="35">
        <v>45910</v>
      </c>
      <c r="C94" s="35"/>
      <c r="D94" s="52">
        <v>8.8000000000000007</v>
      </c>
      <c r="E94" s="52">
        <v>4.1100000000000003</v>
      </c>
      <c r="F94" s="52">
        <f>'Tabla jerseys'!$D107+'Tabla jerseys'!$E107</f>
        <v>12.91</v>
      </c>
      <c r="G94" s="36" t="s">
        <v>98</v>
      </c>
      <c r="H94" s="36"/>
      <c r="I94" s="36" t="s">
        <v>14</v>
      </c>
      <c r="J94" s="35">
        <v>45965</v>
      </c>
      <c r="K94" s="52">
        <v>34.979999999999997</v>
      </c>
      <c r="L94" s="53">
        <f t="shared" si="3"/>
        <v>22.069999999999997</v>
      </c>
    </row>
    <row r="95" spans="1:12" x14ac:dyDescent="0.35">
      <c r="A95" s="49">
        <v>8</v>
      </c>
      <c r="B95" s="35">
        <v>45910</v>
      </c>
      <c r="C95" s="35"/>
      <c r="D95" s="52">
        <v>8.8000000000000007</v>
      </c>
      <c r="E95" s="52">
        <v>4.1100000000000003</v>
      </c>
      <c r="F95" s="52">
        <f>'Tabla jerseys'!$D106+'Tabla jerseys'!$E106</f>
        <v>12.91</v>
      </c>
      <c r="G95" s="36" t="s">
        <v>97</v>
      </c>
      <c r="H95" s="36"/>
      <c r="I95" s="36" t="s">
        <v>24</v>
      </c>
      <c r="J95" s="35">
        <v>45961</v>
      </c>
      <c r="K95" s="52">
        <v>27.17</v>
      </c>
      <c r="L95" s="53">
        <f t="shared" si="3"/>
        <v>14.260000000000002</v>
      </c>
    </row>
    <row r="96" spans="1:12" x14ac:dyDescent="0.35">
      <c r="A96" s="44">
        <v>8</v>
      </c>
      <c r="B96" s="35">
        <v>45910</v>
      </c>
      <c r="C96" s="35"/>
      <c r="D96" s="52">
        <v>8.8000000000000007</v>
      </c>
      <c r="E96" s="52">
        <v>4.1100000000000003</v>
      </c>
      <c r="F96" s="52">
        <f>'Tabla jerseys'!$D105+'Tabla jerseys'!$E105</f>
        <v>12.91</v>
      </c>
      <c r="G96" s="36" t="s">
        <v>96</v>
      </c>
      <c r="H96" s="36"/>
      <c r="I96" s="36" t="s">
        <v>14</v>
      </c>
      <c r="J96" s="35">
        <v>45959</v>
      </c>
      <c r="K96" s="52">
        <v>40.36</v>
      </c>
      <c r="L96" s="53">
        <f t="shared" si="3"/>
        <v>27.45</v>
      </c>
    </row>
    <row r="97" spans="1:12" x14ac:dyDescent="0.35">
      <c r="A97" s="49">
        <v>8</v>
      </c>
      <c r="B97" s="35">
        <v>45910</v>
      </c>
      <c r="C97" s="35"/>
      <c r="D97" s="52">
        <v>8.8000000000000007</v>
      </c>
      <c r="E97" s="52">
        <v>4.1100000000000003</v>
      </c>
      <c r="F97" s="52">
        <f>'Tabla jerseys'!$D90+'Tabla jerseys'!$E90</f>
        <v>12.91</v>
      </c>
      <c r="G97" s="36" t="s">
        <v>93</v>
      </c>
      <c r="H97" s="36"/>
      <c r="I97" s="36" t="s">
        <v>14</v>
      </c>
      <c r="J97" s="35">
        <v>45946</v>
      </c>
      <c r="K97" s="52">
        <v>29.88</v>
      </c>
      <c r="L97" s="53">
        <f t="shared" si="3"/>
        <v>16.97</v>
      </c>
    </row>
    <row r="98" spans="1:12" x14ac:dyDescent="0.35">
      <c r="A98" s="44">
        <v>8</v>
      </c>
      <c r="B98" s="35">
        <v>45910</v>
      </c>
      <c r="C98" s="35"/>
      <c r="D98" s="52">
        <v>8.8000000000000007</v>
      </c>
      <c r="E98" s="52">
        <v>4.1100000000000003</v>
      </c>
      <c r="F98" s="52">
        <f>'Tabla jerseys'!$D91+'Tabla jerseys'!$E91</f>
        <v>12.91</v>
      </c>
      <c r="G98" s="36" t="s">
        <v>88</v>
      </c>
      <c r="H98" s="36"/>
      <c r="I98" s="36" t="s">
        <v>17</v>
      </c>
      <c r="J98" s="43">
        <v>45945</v>
      </c>
      <c r="K98" s="52">
        <v>37</v>
      </c>
      <c r="L98" s="53">
        <f t="shared" si="3"/>
        <v>24.09</v>
      </c>
    </row>
    <row r="99" spans="1:12" x14ac:dyDescent="0.35">
      <c r="A99" s="36">
        <v>8</v>
      </c>
      <c r="B99" s="35">
        <v>45910</v>
      </c>
      <c r="C99" s="35"/>
      <c r="D99" s="52">
        <v>8.8000000000000007</v>
      </c>
      <c r="E99" s="52">
        <v>4.1100000000000003</v>
      </c>
      <c r="F99" s="52">
        <f>'Tabla jerseys'!$D92+'Tabla jerseys'!$E92</f>
        <v>12.91</v>
      </c>
      <c r="G99" s="36" t="s">
        <v>89</v>
      </c>
      <c r="H99" s="36"/>
      <c r="I99" s="36" t="s">
        <v>17</v>
      </c>
      <c r="J99" s="43">
        <v>45945</v>
      </c>
      <c r="K99" s="52">
        <v>37</v>
      </c>
      <c r="L99" s="53">
        <f t="shared" si="3"/>
        <v>24.09</v>
      </c>
    </row>
    <row r="100" spans="1:12" x14ac:dyDescent="0.35">
      <c r="A100" s="36">
        <v>8</v>
      </c>
      <c r="B100" s="35">
        <v>45910</v>
      </c>
      <c r="C100" s="35"/>
      <c r="D100" s="52">
        <v>22.33</v>
      </c>
      <c r="E100" s="52">
        <v>0</v>
      </c>
      <c r="F100" s="52">
        <f>'Tabla jerseys'!$D93+'Tabla jerseys'!$E93</f>
        <v>12.91</v>
      </c>
      <c r="G100" s="36" t="s">
        <v>91</v>
      </c>
      <c r="H100" s="36"/>
      <c r="I100" s="36" t="s">
        <v>17</v>
      </c>
      <c r="J100" s="35">
        <v>45942</v>
      </c>
      <c r="K100" s="52">
        <v>29.88</v>
      </c>
      <c r="L100" s="53">
        <f t="shared" si="3"/>
        <v>16.97</v>
      </c>
    </row>
    <row r="101" spans="1:12" x14ac:dyDescent="0.35">
      <c r="A101" s="36">
        <v>8</v>
      </c>
      <c r="B101" s="35">
        <v>45910</v>
      </c>
      <c r="C101" s="35"/>
      <c r="D101" s="52">
        <v>8.8000000000000007</v>
      </c>
      <c r="E101" s="52">
        <v>4.1100000000000003</v>
      </c>
      <c r="F101" s="52">
        <f>'Tabla jerseys'!$D94+'Tabla jerseys'!$E94</f>
        <v>12.91</v>
      </c>
      <c r="G101" s="36" t="s">
        <v>90</v>
      </c>
      <c r="H101" s="36"/>
      <c r="I101" s="36" t="s">
        <v>14</v>
      </c>
      <c r="J101" s="35">
        <v>46010</v>
      </c>
      <c r="K101" s="52">
        <v>28.39</v>
      </c>
      <c r="L101" s="53">
        <f t="shared" si="3"/>
        <v>15.48</v>
      </c>
    </row>
    <row r="102" spans="1:12" x14ac:dyDescent="0.35">
      <c r="A102" s="48">
        <v>8</v>
      </c>
      <c r="B102" s="35">
        <v>45910</v>
      </c>
      <c r="C102" s="35"/>
      <c r="D102" s="52">
        <v>8.8000000000000007</v>
      </c>
      <c r="E102" s="52">
        <v>4.1100000000000003</v>
      </c>
      <c r="F102" s="52">
        <f>'Tabla jerseys'!$D95+'Tabla jerseys'!$E95</f>
        <v>12.91</v>
      </c>
      <c r="G102" s="36" t="s">
        <v>93</v>
      </c>
      <c r="H102" s="36"/>
      <c r="I102" s="36" t="s">
        <v>14</v>
      </c>
      <c r="J102" s="35"/>
      <c r="K102" s="52"/>
      <c r="L102" s="53">
        <f t="shared" si="3"/>
        <v>-12.91</v>
      </c>
    </row>
    <row r="103" spans="1:12" x14ac:dyDescent="0.35">
      <c r="A103" s="48">
        <v>8</v>
      </c>
      <c r="B103" s="35">
        <v>45910</v>
      </c>
      <c r="C103" s="35"/>
      <c r="D103" s="52">
        <v>8.8000000000000007</v>
      </c>
      <c r="E103" s="52">
        <v>4.1100000000000003</v>
      </c>
      <c r="F103" s="52">
        <f>'Tabla jerseys'!$D96+'Tabla jerseys'!$E96</f>
        <v>12.91</v>
      </c>
      <c r="G103" s="36" t="s">
        <v>93</v>
      </c>
      <c r="H103" s="36"/>
      <c r="I103" s="36" t="s">
        <v>17</v>
      </c>
      <c r="J103" s="35"/>
      <c r="K103" s="52"/>
      <c r="L103" s="53">
        <f t="shared" si="3"/>
        <v>-12.91</v>
      </c>
    </row>
    <row r="104" spans="1:12" x14ac:dyDescent="0.35">
      <c r="A104" s="44">
        <v>8</v>
      </c>
      <c r="B104" s="35">
        <v>45910</v>
      </c>
      <c r="C104" s="35"/>
      <c r="D104" s="52">
        <v>8.8000000000000007</v>
      </c>
      <c r="E104" s="52">
        <v>4.1100000000000003</v>
      </c>
      <c r="F104" s="52">
        <f>'Tabla jerseys'!$D101+'Tabla jerseys'!$E101</f>
        <v>12.91</v>
      </c>
      <c r="G104" s="36" t="s">
        <v>94</v>
      </c>
      <c r="H104" s="36"/>
      <c r="I104" s="36" t="s">
        <v>14</v>
      </c>
      <c r="J104" s="35">
        <v>46053</v>
      </c>
      <c r="K104" s="52">
        <v>22.9</v>
      </c>
      <c r="L104" s="53">
        <f t="shared" si="3"/>
        <v>9.9899999999999984</v>
      </c>
    </row>
    <row r="105" spans="1:12" x14ac:dyDescent="0.35">
      <c r="A105" s="36">
        <v>8</v>
      </c>
      <c r="B105" s="35">
        <v>45910</v>
      </c>
      <c r="C105" s="35"/>
      <c r="D105" s="52">
        <v>8.8000000000000007</v>
      </c>
      <c r="E105" s="52">
        <v>4.1100000000000003</v>
      </c>
      <c r="F105" s="52">
        <f>'Tabla jerseys'!$D102+'Tabla jerseys'!$E102</f>
        <v>12.91</v>
      </c>
      <c r="G105" s="36" t="s">
        <v>94</v>
      </c>
      <c r="H105" s="36"/>
      <c r="I105" s="36" t="s">
        <v>24</v>
      </c>
      <c r="J105" s="35">
        <v>46001</v>
      </c>
      <c r="K105" s="52">
        <v>30.28</v>
      </c>
      <c r="L105" s="53">
        <f t="shared" si="3"/>
        <v>17.37</v>
      </c>
    </row>
    <row r="106" spans="1:12" x14ac:dyDescent="0.35">
      <c r="A106" s="36">
        <v>8</v>
      </c>
      <c r="B106" s="35">
        <v>45910</v>
      </c>
      <c r="C106" s="35"/>
      <c r="D106" s="52">
        <v>8.8000000000000007</v>
      </c>
      <c r="E106" s="52">
        <v>4.1100000000000003</v>
      </c>
      <c r="F106" s="52">
        <f>'Tabla jerseys'!$D103+'Tabla jerseys'!$E103</f>
        <v>12.91</v>
      </c>
      <c r="G106" s="36" t="s">
        <v>95</v>
      </c>
      <c r="H106" s="36"/>
      <c r="I106" s="36" t="s">
        <v>14</v>
      </c>
      <c r="J106" s="35">
        <v>45676</v>
      </c>
      <c r="K106" s="52">
        <v>34.11</v>
      </c>
      <c r="L106" s="53">
        <f t="shared" si="3"/>
        <v>21.2</v>
      </c>
    </row>
    <row r="107" spans="1:12" x14ac:dyDescent="0.35">
      <c r="A107" s="36">
        <v>8</v>
      </c>
      <c r="B107" s="35">
        <v>45910</v>
      </c>
      <c r="C107" s="35"/>
      <c r="D107" s="52">
        <v>8.8000000000000007</v>
      </c>
      <c r="E107" s="52">
        <v>4.1100000000000003</v>
      </c>
      <c r="F107" s="52">
        <f>'Tabla jerseys'!$D104+'Tabla jerseys'!$E104</f>
        <v>12.91</v>
      </c>
      <c r="G107" s="36" t="s">
        <v>95</v>
      </c>
      <c r="H107" s="36"/>
      <c r="I107" s="36" t="s">
        <v>24</v>
      </c>
      <c r="J107" s="35">
        <v>46001</v>
      </c>
      <c r="K107" s="52">
        <v>30.28</v>
      </c>
      <c r="L107" s="53">
        <f t="shared" si="3"/>
        <v>17.37</v>
      </c>
    </row>
    <row r="108" spans="1:12" x14ac:dyDescent="0.35">
      <c r="A108" s="36">
        <v>9</v>
      </c>
      <c r="B108" s="35">
        <v>45920</v>
      </c>
      <c r="C108" s="35">
        <v>45942</v>
      </c>
      <c r="D108" s="52">
        <v>12.5</v>
      </c>
      <c r="E108" s="52">
        <v>4.37</v>
      </c>
      <c r="F108" s="52">
        <f>'Tabla jerseys'!$D112+'Tabla jerseys'!$E112</f>
        <v>16.25</v>
      </c>
      <c r="G108" s="36" t="s">
        <v>51</v>
      </c>
      <c r="H108" s="36"/>
      <c r="I108" s="36" t="s">
        <v>14</v>
      </c>
      <c r="J108" s="35">
        <v>45961</v>
      </c>
      <c r="K108" s="52">
        <v>32.17</v>
      </c>
      <c r="L108" s="53">
        <f t="shared" si="3"/>
        <v>15.920000000000002</v>
      </c>
    </row>
    <row r="109" spans="1:12" x14ac:dyDescent="0.35">
      <c r="A109" s="36">
        <v>9</v>
      </c>
      <c r="B109" s="35">
        <v>45920</v>
      </c>
      <c r="C109" s="35">
        <v>45942</v>
      </c>
      <c r="D109" s="52">
        <v>12.5</v>
      </c>
      <c r="E109" s="52">
        <v>4.37</v>
      </c>
      <c r="F109" s="52">
        <f>'Tabla jerseys'!$D113+'Tabla jerseys'!$E113</f>
        <v>16.25</v>
      </c>
      <c r="G109" s="36" t="s">
        <v>51</v>
      </c>
      <c r="H109" s="36"/>
      <c r="I109" s="36" t="s">
        <v>78</v>
      </c>
      <c r="J109" s="35">
        <v>45961</v>
      </c>
      <c r="K109" s="52">
        <v>32.17</v>
      </c>
      <c r="L109" s="53">
        <f t="shared" si="3"/>
        <v>15.920000000000002</v>
      </c>
    </row>
    <row r="110" spans="1:12" x14ac:dyDescent="0.35">
      <c r="A110" s="36">
        <v>9</v>
      </c>
      <c r="B110" s="35">
        <v>45920</v>
      </c>
      <c r="C110" s="35">
        <v>45942</v>
      </c>
      <c r="D110" s="52">
        <v>10.5</v>
      </c>
      <c r="E110" s="52">
        <v>4.37</v>
      </c>
      <c r="F110" s="52">
        <f>'Tabla jerseys'!$D114+'Tabla jerseys'!$E114</f>
        <v>14.870000000000001</v>
      </c>
      <c r="G110" s="36" t="s">
        <v>32</v>
      </c>
      <c r="H110" s="36"/>
      <c r="I110" s="36" t="s">
        <v>85</v>
      </c>
      <c r="J110" s="35">
        <v>45953</v>
      </c>
      <c r="K110" s="52">
        <v>26.89</v>
      </c>
      <c r="L110" s="53">
        <f t="shared" si="3"/>
        <v>12.02</v>
      </c>
    </row>
    <row r="111" spans="1:12" x14ac:dyDescent="0.35">
      <c r="A111" s="36">
        <v>9</v>
      </c>
      <c r="B111" s="35">
        <v>45920</v>
      </c>
      <c r="C111" s="35">
        <v>45942</v>
      </c>
      <c r="D111" s="52">
        <v>11.88</v>
      </c>
      <c r="E111" s="52">
        <v>4.37</v>
      </c>
      <c r="F111" s="52">
        <f>'Tabla jerseys'!$D108+'Tabla jerseys'!$E108</f>
        <v>16.87</v>
      </c>
      <c r="G111" s="35" t="s">
        <v>99</v>
      </c>
      <c r="H111" s="36" t="s">
        <v>100</v>
      </c>
      <c r="I111" s="36" t="s">
        <v>14</v>
      </c>
      <c r="J111" s="43">
        <v>45945</v>
      </c>
      <c r="K111" s="52">
        <v>37.64</v>
      </c>
      <c r="L111" s="53">
        <f t="shared" ref="L111:L126" si="4">K111-F111</f>
        <v>20.77</v>
      </c>
    </row>
    <row r="112" spans="1:12" x14ac:dyDescent="0.35">
      <c r="A112" s="36">
        <v>9</v>
      </c>
      <c r="B112" s="35">
        <v>45920</v>
      </c>
      <c r="C112" s="35">
        <v>45942</v>
      </c>
      <c r="D112" s="52">
        <v>11.88</v>
      </c>
      <c r="E112" s="52">
        <v>4.37</v>
      </c>
      <c r="F112" s="52">
        <f>'Tabla jerseys'!$D109+'Tabla jerseys'!$E109</f>
        <v>16.87</v>
      </c>
      <c r="G112" s="35" t="s">
        <v>102</v>
      </c>
      <c r="H112" s="36" t="s">
        <v>103</v>
      </c>
      <c r="I112" s="36" t="s">
        <v>14</v>
      </c>
      <c r="J112" s="43">
        <v>45945</v>
      </c>
      <c r="K112" s="52">
        <v>37.64</v>
      </c>
      <c r="L112" s="53">
        <f t="shared" si="4"/>
        <v>20.77</v>
      </c>
    </row>
    <row r="113" spans="1:14" x14ac:dyDescent="0.35">
      <c r="A113" s="36">
        <v>9</v>
      </c>
      <c r="B113" s="35">
        <v>45920</v>
      </c>
      <c r="C113" s="35">
        <v>45942</v>
      </c>
      <c r="D113" s="52">
        <v>11.88</v>
      </c>
      <c r="E113" s="52">
        <v>4.37</v>
      </c>
      <c r="F113" s="52">
        <f>'Tabla jerseys'!$D110+'Tabla jerseys'!$E110</f>
        <v>14.870000000000001</v>
      </c>
      <c r="G113" s="35" t="s">
        <v>104</v>
      </c>
      <c r="H113" s="36" t="s">
        <v>100</v>
      </c>
      <c r="I113" s="36" t="s">
        <v>14</v>
      </c>
      <c r="J113" s="43">
        <v>45945</v>
      </c>
      <c r="K113" s="52">
        <v>37.64</v>
      </c>
      <c r="L113" s="53">
        <f t="shared" si="4"/>
        <v>22.77</v>
      </c>
    </row>
    <row r="114" spans="1:14" x14ac:dyDescent="0.35">
      <c r="A114" s="36">
        <v>9</v>
      </c>
      <c r="B114" s="35">
        <v>45920</v>
      </c>
      <c r="C114" s="35">
        <v>45942</v>
      </c>
      <c r="D114" s="52">
        <v>10.5</v>
      </c>
      <c r="E114" s="52">
        <v>4.37</v>
      </c>
      <c r="F114" s="52">
        <f>'Tabla jerseys'!$D111+'Tabla jerseys'!$E111</f>
        <v>16.25</v>
      </c>
      <c r="G114" s="36" t="s">
        <v>101</v>
      </c>
      <c r="H114" s="36"/>
      <c r="I114" s="36" t="s">
        <v>14</v>
      </c>
      <c r="J114" s="43">
        <v>45945</v>
      </c>
      <c r="K114" s="52">
        <v>26.89</v>
      </c>
      <c r="L114" s="53">
        <f t="shared" si="4"/>
        <v>10.64</v>
      </c>
    </row>
    <row r="115" spans="1:14" x14ac:dyDescent="0.35">
      <c r="A115" s="36">
        <v>10</v>
      </c>
      <c r="B115" s="35">
        <v>45935</v>
      </c>
      <c r="C115" s="48"/>
      <c r="D115" s="52">
        <v>13</v>
      </c>
      <c r="E115" s="52">
        <v>8.33</v>
      </c>
      <c r="F115" s="52">
        <f>'Tabla jerseys'!$D116+'Tabla jerseys'!$E116</f>
        <v>21.33</v>
      </c>
      <c r="G115" s="36" t="s">
        <v>106</v>
      </c>
      <c r="H115" s="40"/>
      <c r="I115" s="40" t="s">
        <v>73</v>
      </c>
      <c r="J115" s="51">
        <v>45990</v>
      </c>
      <c r="K115" s="40">
        <v>35.22</v>
      </c>
      <c r="L115" s="53">
        <f t="shared" si="4"/>
        <v>13.89</v>
      </c>
    </row>
    <row r="116" spans="1:14" x14ac:dyDescent="0.35">
      <c r="A116" s="44">
        <v>10</v>
      </c>
      <c r="B116" s="45">
        <v>45935</v>
      </c>
      <c r="C116" s="49"/>
      <c r="D116" s="59">
        <v>13</v>
      </c>
      <c r="E116" s="59">
        <v>8.33</v>
      </c>
      <c r="F116" s="52">
        <f>'Tabla jerseys'!$D115+'Tabla jerseys'!$E115</f>
        <v>21.33</v>
      </c>
      <c r="G116" s="44" t="s">
        <v>105</v>
      </c>
      <c r="H116" s="42" t="s">
        <v>26</v>
      </c>
      <c r="I116" s="42" t="s">
        <v>80</v>
      </c>
      <c r="J116" s="46">
        <v>45967</v>
      </c>
      <c r="K116" s="42">
        <v>35.22</v>
      </c>
      <c r="L116" s="53">
        <f t="shared" si="4"/>
        <v>13.89</v>
      </c>
    </row>
    <row r="117" spans="1:14" x14ac:dyDescent="0.35">
      <c r="A117" s="44">
        <v>10</v>
      </c>
      <c r="B117" s="45">
        <v>45935</v>
      </c>
      <c r="C117" s="49"/>
      <c r="D117" s="59">
        <v>10.5</v>
      </c>
      <c r="E117" s="59">
        <v>8.33</v>
      </c>
      <c r="F117" s="52">
        <f>'Tabla jerseys'!$D118+'Tabla jerseys'!$E118</f>
        <v>18.829999999999998</v>
      </c>
      <c r="G117" s="44" t="s">
        <v>108</v>
      </c>
      <c r="H117" s="42"/>
      <c r="I117" s="42" t="s">
        <v>24</v>
      </c>
      <c r="J117" s="46">
        <v>45964</v>
      </c>
      <c r="K117" s="42">
        <v>35.22</v>
      </c>
      <c r="L117" s="53">
        <f t="shared" si="4"/>
        <v>16.39</v>
      </c>
    </row>
    <row r="118" spans="1:14" x14ac:dyDescent="0.35">
      <c r="A118" s="44">
        <v>10</v>
      </c>
      <c r="B118" s="45">
        <v>45935</v>
      </c>
      <c r="C118" s="49"/>
      <c r="D118" s="59">
        <v>10.5</v>
      </c>
      <c r="E118" s="59">
        <v>8.33</v>
      </c>
      <c r="F118" s="52">
        <f>'Tabla jerseys'!$D119+'Tabla jerseys'!$E119</f>
        <v>20.329999999999998</v>
      </c>
      <c r="G118" s="44" t="s">
        <v>108</v>
      </c>
      <c r="H118" s="42"/>
      <c r="I118" s="42" t="s">
        <v>17</v>
      </c>
      <c r="J118" s="46">
        <v>45964</v>
      </c>
      <c r="K118" s="42">
        <v>35.22</v>
      </c>
      <c r="L118" s="53">
        <f t="shared" si="4"/>
        <v>14.89</v>
      </c>
    </row>
    <row r="119" spans="1:14" x14ac:dyDescent="0.35">
      <c r="A119" s="44">
        <v>10</v>
      </c>
      <c r="B119" s="45">
        <v>45935</v>
      </c>
      <c r="C119" s="50"/>
      <c r="D119" s="59">
        <v>12</v>
      </c>
      <c r="E119" s="59">
        <v>8.33</v>
      </c>
      <c r="F119" s="52">
        <f>'Tabla jerseys'!$D117+'Tabla jerseys'!$E117</f>
        <v>18.829999999999998</v>
      </c>
      <c r="G119" s="44" t="s">
        <v>107</v>
      </c>
      <c r="H119" s="41"/>
      <c r="I119" s="41" t="s">
        <v>25</v>
      </c>
      <c r="J119" s="47"/>
      <c r="K119" s="41">
        <v>8.1999999999999993</v>
      </c>
      <c r="L119" s="53">
        <f t="shared" si="4"/>
        <v>-10.629999999999999</v>
      </c>
    </row>
    <row r="120" spans="1:14" x14ac:dyDescent="0.35">
      <c r="A120" s="44">
        <v>11</v>
      </c>
      <c r="B120" s="46">
        <v>45955</v>
      </c>
      <c r="C120" s="42"/>
      <c r="D120" s="59">
        <v>10.5</v>
      </c>
      <c r="E120" s="59">
        <v>5.5</v>
      </c>
      <c r="F120" s="52">
        <f>'Tabla jerseys'!$D120+'Tabla jerseys'!$E120</f>
        <v>16</v>
      </c>
      <c r="G120" s="44" t="s">
        <v>109</v>
      </c>
      <c r="H120" s="42"/>
      <c r="I120" s="42" t="s">
        <v>14</v>
      </c>
      <c r="J120" s="46">
        <v>45980</v>
      </c>
      <c r="K120" s="42">
        <v>37.93</v>
      </c>
      <c r="L120" s="53">
        <f t="shared" si="4"/>
        <v>21.93</v>
      </c>
      <c r="N120" s="3"/>
    </row>
    <row r="121" spans="1:14" x14ac:dyDescent="0.35">
      <c r="A121" s="44">
        <v>11</v>
      </c>
      <c r="B121" s="47">
        <v>45955</v>
      </c>
      <c r="C121" s="41"/>
      <c r="D121" s="59">
        <v>10.5</v>
      </c>
      <c r="E121" s="59">
        <v>5.5</v>
      </c>
      <c r="F121" s="52">
        <f>'Tabla jerseys'!$D121+'Tabla jerseys'!$E121</f>
        <v>16</v>
      </c>
      <c r="G121" s="44" t="s">
        <v>110</v>
      </c>
      <c r="H121" s="41"/>
      <c r="I121" s="41" t="s">
        <v>24</v>
      </c>
      <c r="J121" s="46">
        <v>45980</v>
      </c>
      <c r="K121" s="41">
        <v>37.93</v>
      </c>
      <c r="L121" s="53">
        <f t="shared" si="4"/>
        <v>21.93</v>
      </c>
    </row>
    <row r="122" spans="1:14" x14ac:dyDescent="0.35">
      <c r="A122" s="44">
        <v>11</v>
      </c>
      <c r="B122" s="46">
        <v>45955</v>
      </c>
      <c r="C122" s="42"/>
      <c r="D122" s="59">
        <v>10.5</v>
      </c>
      <c r="E122" s="59">
        <v>5.5</v>
      </c>
      <c r="F122" s="52">
        <f>'Tabla jerseys'!$D122+'Tabla jerseys'!$E122</f>
        <v>16</v>
      </c>
      <c r="G122" s="44" t="s">
        <v>111</v>
      </c>
      <c r="H122" s="42"/>
      <c r="I122" s="42" t="s">
        <v>14</v>
      </c>
      <c r="J122" s="46">
        <v>45980</v>
      </c>
      <c r="K122" s="42">
        <v>37.93</v>
      </c>
      <c r="L122" s="53">
        <f t="shared" si="4"/>
        <v>21.93</v>
      </c>
    </row>
    <row r="123" spans="1:14" x14ac:dyDescent="0.35">
      <c r="A123" s="44">
        <v>11</v>
      </c>
      <c r="B123" s="47">
        <v>45955</v>
      </c>
      <c r="C123" s="41"/>
      <c r="D123" s="59">
        <v>13</v>
      </c>
      <c r="E123" s="59">
        <v>5.5</v>
      </c>
      <c r="F123" s="52">
        <f>'Tabla jerseys'!$D123+'Tabla jerseys'!$E123</f>
        <v>18.5</v>
      </c>
      <c r="G123" s="44" t="s">
        <v>112</v>
      </c>
      <c r="H123" s="41"/>
      <c r="I123" s="41" t="s">
        <v>17</v>
      </c>
      <c r="J123" s="46">
        <v>45980</v>
      </c>
      <c r="K123" s="41">
        <v>37.93</v>
      </c>
      <c r="L123" s="53">
        <f t="shared" si="4"/>
        <v>19.43</v>
      </c>
    </row>
    <row r="124" spans="1:14" x14ac:dyDescent="0.35">
      <c r="A124" s="44">
        <v>11</v>
      </c>
      <c r="B124" s="46">
        <v>45955</v>
      </c>
      <c r="C124" s="42"/>
      <c r="D124" s="59">
        <v>12</v>
      </c>
      <c r="E124" s="59">
        <v>5.5</v>
      </c>
      <c r="F124" s="52">
        <f>'Tabla jerseys'!$D124+'Tabla jerseys'!$E124</f>
        <v>17.5</v>
      </c>
      <c r="G124" s="44" t="s">
        <v>113</v>
      </c>
      <c r="H124" s="42"/>
      <c r="I124" s="42" t="s">
        <v>14</v>
      </c>
      <c r="J124" s="46">
        <v>45980</v>
      </c>
      <c r="K124" s="42">
        <v>35.22</v>
      </c>
      <c r="L124" s="53">
        <f t="shared" si="4"/>
        <v>17.72</v>
      </c>
    </row>
    <row r="125" spans="1:14" x14ac:dyDescent="0.35">
      <c r="A125" s="44">
        <v>11</v>
      </c>
      <c r="B125" s="47">
        <v>45955</v>
      </c>
      <c r="C125" s="41"/>
      <c r="D125" s="59">
        <v>12</v>
      </c>
      <c r="E125" s="59">
        <v>5.5</v>
      </c>
      <c r="F125" s="52">
        <f>'Tabla jerseys'!$D125+'Tabla jerseys'!$E125</f>
        <v>17.5</v>
      </c>
      <c r="G125" s="44" t="s">
        <v>114</v>
      </c>
      <c r="H125" s="41"/>
      <c r="I125" s="41" t="s">
        <v>14</v>
      </c>
      <c r="J125" s="47">
        <v>45979</v>
      </c>
      <c r="K125" s="41">
        <v>32.69</v>
      </c>
      <c r="L125" s="53">
        <f t="shared" si="4"/>
        <v>15.189999999999998</v>
      </c>
    </row>
    <row r="126" spans="1:14" x14ac:dyDescent="0.35">
      <c r="A126" s="44">
        <v>11</v>
      </c>
      <c r="B126" s="46">
        <v>45955</v>
      </c>
      <c r="C126" s="42"/>
      <c r="D126" s="59">
        <v>12</v>
      </c>
      <c r="E126" s="59">
        <v>5.5</v>
      </c>
      <c r="F126" s="52">
        <f>'Tabla jerseys'!$D126+'Tabla jerseys'!$E126</f>
        <v>17.5</v>
      </c>
      <c r="G126" s="44" t="s">
        <v>114</v>
      </c>
      <c r="H126" s="42"/>
      <c r="I126" s="42" t="s">
        <v>14</v>
      </c>
      <c r="J126" s="46">
        <v>45979</v>
      </c>
      <c r="K126" s="42">
        <v>32.69</v>
      </c>
      <c r="L126" s="53">
        <f t="shared" si="4"/>
        <v>15.189999999999998</v>
      </c>
    </row>
    <row r="127" spans="1:14" x14ac:dyDescent="0.35">
      <c r="A127" s="44">
        <v>11</v>
      </c>
      <c r="B127" s="47">
        <v>45955</v>
      </c>
      <c r="C127" s="41"/>
      <c r="D127" s="59">
        <v>12</v>
      </c>
      <c r="E127" s="59">
        <v>5.5</v>
      </c>
      <c r="F127" s="52">
        <f>'Tabla jerseys'!$D127+'Tabla jerseys'!$E127</f>
        <v>17.5</v>
      </c>
      <c r="G127" s="44" t="s">
        <v>114</v>
      </c>
      <c r="H127" s="41"/>
      <c r="I127" s="41" t="s">
        <v>24</v>
      </c>
      <c r="J127" s="47">
        <v>45962</v>
      </c>
      <c r="K127" s="42">
        <v>32.69</v>
      </c>
      <c r="L127" s="42">
        <v>32.69</v>
      </c>
    </row>
    <row r="128" spans="1:14" x14ac:dyDescent="0.35">
      <c r="A128" s="44">
        <v>11</v>
      </c>
      <c r="B128" s="46">
        <v>45955</v>
      </c>
      <c r="C128" s="42"/>
      <c r="D128" s="59">
        <v>12</v>
      </c>
      <c r="E128" s="59">
        <v>5.5</v>
      </c>
      <c r="F128" s="52">
        <f>'Tabla jerseys'!$D128+'Tabla jerseys'!$E128</f>
        <v>17.5</v>
      </c>
      <c r="G128" s="44" t="s">
        <v>114</v>
      </c>
      <c r="H128" s="42"/>
      <c r="I128" s="42" t="s">
        <v>24</v>
      </c>
      <c r="J128" s="46">
        <v>45962</v>
      </c>
      <c r="K128" s="42">
        <v>32.69</v>
      </c>
      <c r="L128" s="53">
        <f t="shared" ref="L128:L169" si="5">K128-F128</f>
        <v>15.189999999999998</v>
      </c>
    </row>
    <row r="129" spans="1:12" x14ac:dyDescent="0.35">
      <c r="A129" s="44">
        <v>12</v>
      </c>
      <c r="B129" s="46">
        <v>45945</v>
      </c>
      <c r="C129" s="42"/>
      <c r="D129" s="59">
        <v>17.760000000000002</v>
      </c>
      <c r="E129" s="59">
        <v>0</v>
      </c>
      <c r="F129" s="52">
        <f>'Tabla jerseys'!$D129+'Tabla jerseys'!$E129</f>
        <v>17.760000000000002</v>
      </c>
      <c r="G129" s="44" t="s">
        <v>115</v>
      </c>
      <c r="H129" s="42"/>
      <c r="I129" s="42" t="s">
        <v>24</v>
      </c>
      <c r="J129" s="46">
        <v>45992</v>
      </c>
      <c r="K129" s="42">
        <v>32.69</v>
      </c>
      <c r="L129" s="53">
        <f t="shared" si="5"/>
        <v>14.929999999999996</v>
      </c>
    </row>
    <row r="130" spans="1:12" x14ac:dyDescent="0.35">
      <c r="A130" s="44">
        <v>13</v>
      </c>
      <c r="B130" s="46">
        <v>45994</v>
      </c>
      <c r="C130" s="42"/>
      <c r="D130" s="59">
        <v>8</v>
      </c>
      <c r="E130" s="59">
        <f t="shared" ref="E130:E142" si="6">71/13</f>
        <v>5.4615384615384617</v>
      </c>
      <c r="F130" s="52">
        <f>'Tabla jerseys'!$D130+'Tabla jerseys'!$E130</f>
        <v>13.461538461538462</v>
      </c>
      <c r="G130" s="44" t="s">
        <v>116</v>
      </c>
      <c r="H130" s="42"/>
      <c r="I130" s="42" t="s">
        <v>14</v>
      </c>
      <c r="J130" s="46">
        <v>46030</v>
      </c>
      <c r="K130" s="42">
        <v>38.92</v>
      </c>
      <c r="L130" s="53">
        <f t="shared" si="5"/>
        <v>25.458461538461542</v>
      </c>
    </row>
    <row r="131" spans="1:12" x14ac:dyDescent="0.35">
      <c r="A131" s="44">
        <v>13</v>
      </c>
      <c r="B131" s="46">
        <v>45994</v>
      </c>
      <c r="C131" s="42"/>
      <c r="D131" s="59">
        <v>14</v>
      </c>
      <c r="E131" s="59">
        <f t="shared" si="6"/>
        <v>5.4615384615384617</v>
      </c>
      <c r="F131" s="52">
        <f>'Tabla jerseys'!$D131+'Tabla jerseys'!$E131</f>
        <v>19.46153846153846</v>
      </c>
      <c r="G131" s="44" t="s">
        <v>70</v>
      </c>
      <c r="H131" s="42"/>
      <c r="I131" s="42" t="s">
        <v>25</v>
      </c>
      <c r="J131" s="46">
        <v>46030</v>
      </c>
      <c r="K131" s="42">
        <v>38.92</v>
      </c>
      <c r="L131" s="53">
        <f t="shared" si="5"/>
        <v>19.458461538461542</v>
      </c>
    </row>
    <row r="132" spans="1:12" x14ac:dyDescent="0.35">
      <c r="A132" s="44">
        <v>13</v>
      </c>
      <c r="B132" s="46">
        <v>45994</v>
      </c>
      <c r="C132" s="42"/>
      <c r="D132" s="59">
        <v>8</v>
      </c>
      <c r="E132" s="59">
        <f t="shared" si="6"/>
        <v>5.4615384615384617</v>
      </c>
      <c r="F132" s="52">
        <f>'Tabla jerseys'!$D132+'Tabla jerseys'!$E132</f>
        <v>13.461538461538462</v>
      </c>
      <c r="G132" s="44" t="s">
        <v>112</v>
      </c>
      <c r="H132" s="42"/>
      <c r="I132" s="42" t="s">
        <v>17</v>
      </c>
      <c r="J132" s="46">
        <v>46030</v>
      </c>
      <c r="K132" s="42">
        <v>36.130000000000003</v>
      </c>
      <c r="L132" s="53">
        <f t="shared" si="5"/>
        <v>22.668461538461543</v>
      </c>
    </row>
    <row r="133" spans="1:12" x14ac:dyDescent="0.35">
      <c r="A133" s="44">
        <v>13</v>
      </c>
      <c r="B133" s="46">
        <v>45994</v>
      </c>
      <c r="C133" s="42"/>
      <c r="D133" s="59">
        <v>8</v>
      </c>
      <c r="E133" s="59">
        <f t="shared" si="6"/>
        <v>5.4615384615384617</v>
      </c>
      <c r="F133" s="52">
        <f>'Tabla jerseys'!$D133+'Tabla jerseys'!$E133</f>
        <v>13.461538461538462</v>
      </c>
      <c r="G133" s="44" t="s">
        <v>112</v>
      </c>
      <c r="H133" s="42"/>
      <c r="I133" s="42" t="s">
        <v>14</v>
      </c>
      <c r="J133" s="46">
        <v>46044</v>
      </c>
      <c r="K133" s="42">
        <v>26.13</v>
      </c>
      <c r="L133" s="53">
        <f t="shared" si="5"/>
        <v>12.668461538461537</v>
      </c>
    </row>
    <row r="134" spans="1:12" x14ac:dyDescent="0.35">
      <c r="A134" s="44">
        <v>13</v>
      </c>
      <c r="B134" s="46">
        <v>45994</v>
      </c>
      <c r="C134" s="42"/>
      <c r="D134" s="59">
        <v>8</v>
      </c>
      <c r="E134" s="59">
        <f t="shared" si="6"/>
        <v>5.4615384615384617</v>
      </c>
      <c r="F134" s="52">
        <f>'Tabla jerseys'!$D134+'Tabla jerseys'!$E134</f>
        <v>13.461538461538462</v>
      </c>
      <c r="G134" s="44" t="s">
        <v>112</v>
      </c>
      <c r="H134" s="42"/>
      <c r="I134" s="42" t="s">
        <v>24</v>
      </c>
      <c r="J134" s="46">
        <v>46044</v>
      </c>
      <c r="K134" s="42">
        <v>26.13</v>
      </c>
      <c r="L134" s="53">
        <f t="shared" si="5"/>
        <v>12.668461538461537</v>
      </c>
    </row>
    <row r="135" spans="1:12" x14ac:dyDescent="0.35">
      <c r="A135" s="44">
        <v>13</v>
      </c>
      <c r="B135" s="46">
        <v>45994</v>
      </c>
      <c r="C135" s="42"/>
      <c r="D135" s="59">
        <v>6</v>
      </c>
      <c r="E135" s="59">
        <f t="shared" si="6"/>
        <v>5.4615384615384617</v>
      </c>
      <c r="F135" s="52">
        <f>'Tabla jerseys'!$D135+'Tabla jerseys'!$E135</f>
        <v>11.461538461538462</v>
      </c>
      <c r="G135" s="44" t="s">
        <v>117</v>
      </c>
      <c r="H135" s="42"/>
      <c r="I135" s="42" t="s">
        <v>14</v>
      </c>
      <c r="J135" s="46">
        <v>46030</v>
      </c>
      <c r="K135" s="42">
        <v>33.35</v>
      </c>
      <c r="L135" s="53">
        <f t="shared" si="5"/>
        <v>21.888461538461542</v>
      </c>
    </row>
    <row r="136" spans="1:12" x14ac:dyDescent="0.35">
      <c r="A136">
        <v>13</v>
      </c>
      <c r="B136" s="46">
        <v>45994</v>
      </c>
      <c r="D136" s="58">
        <v>10</v>
      </c>
      <c r="E136" s="59">
        <f t="shared" si="6"/>
        <v>5.4615384615384617</v>
      </c>
      <c r="F136" s="52">
        <f>'Tabla jerseys'!$D136+'Tabla jerseys'!$E136</f>
        <v>15.461538461538462</v>
      </c>
      <c r="G136" t="s">
        <v>49</v>
      </c>
      <c r="I136" t="s">
        <v>17</v>
      </c>
      <c r="J136" s="46">
        <v>46030</v>
      </c>
      <c r="K136">
        <v>36.130000000000003</v>
      </c>
      <c r="L136" s="53">
        <f t="shared" si="5"/>
        <v>20.668461538461543</v>
      </c>
    </row>
    <row r="137" spans="1:12" x14ac:dyDescent="0.35">
      <c r="A137">
        <v>13</v>
      </c>
      <c r="B137" s="46">
        <v>45994</v>
      </c>
      <c r="D137" s="58">
        <v>14</v>
      </c>
      <c r="E137" s="59">
        <f t="shared" si="6"/>
        <v>5.4615384615384617</v>
      </c>
      <c r="F137" s="52">
        <f>'Tabla jerseys'!$D137+'Tabla jerseys'!$E137</f>
        <v>19.46153846153846</v>
      </c>
      <c r="G137" t="s">
        <v>111</v>
      </c>
      <c r="I137" t="s">
        <v>14</v>
      </c>
      <c r="J137" s="46">
        <v>46030</v>
      </c>
      <c r="K137">
        <v>38.92</v>
      </c>
      <c r="L137" s="53">
        <f t="shared" si="5"/>
        <v>19.458461538461542</v>
      </c>
    </row>
    <row r="138" spans="1:12" x14ac:dyDescent="0.35">
      <c r="A138">
        <v>13</v>
      </c>
      <c r="B138" s="46">
        <v>45994</v>
      </c>
      <c r="D138" s="58">
        <v>12</v>
      </c>
      <c r="E138" s="59">
        <f t="shared" si="6"/>
        <v>5.4615384615384617</v>
      </c>
      <c r="F138" s="52">
        <f>'Tabla jerseys'!$D138+'Tabla jerseys'!$E138</f>
        <v>17.46153846153846</v>
      </c>
      <c r="G138" t="s">
        <v>118</v>
      </c>
      <c r="I138" t="s">
        <v>25</v>
      </c>
      <c r="J138" s="46">
        <v>46030</v>
      </c>
      <c r="K138">
        <v>38.92</v>
      </c>
      <c r="L138" s="53">
        <f t="shared" si="5"/>
        <v>21.458461538461542</v>
      </c>
    </row>
    <row r="139" spans="1:12" x14ac:dyDescent="0.35">
      <c r="A139">
        <v>13</v>
      </c>
      <c r="B139" s="46">
        <v>45994</v>
      </c>
      <c r="D139" s="2">
        <v>8</v>
      </c>
      <c r="E139" s="59">
        <f t="shared" si="6"/>
        <v>5.4615384615384617</v>
      </c>
      <c r="F139" s="52">
        <f>'Tabla jerseys'!$D139+'Tabla jerseys'!$E139</f>
        <v>13.461538461538462</v>
      </c>
      <c r="G139" t="s">
        <v>34</v>
      </c>
      <c r="I139" t="s">
        <v>17</v>
      </c>
      <c r="L139" s="53">
        <f t="shared" si="5"/>
        <v>-13.461538461538462</v>
      </c>
    </row>
    <row r="140" spans="1:12" x14ac:dyDescent="0.35">
      <c r="A140">
        <v>13</v>
      </c>
      <c r="B140" s="46">
        <v>45994</v>
      </c>
      <c r="D140" s="58">
        <v>8</v>
      </c>
      <c r="E140" s="59">
        <f t="shared" si="6"/>
        <v>5.4615384615384617</v>
      </c>
      <c r="F140" s="52">
        <f>'Tabla jerseys'!$D140+'Tabla jerseys'!$E140</f>
        <v>13.461538461538462</v>
      </c>
      <c r="G140" t="s">
        <v>34</v>
      </c>
      <c r="I140" t="s">
        <v>14</v>
      </c>
      <c r="J140" s="28">
        <v>46036</v>
      </c>
      <c r="K140">
        <v>34.07</v>
      </c>
      <c r="L140" s="53">
        <f t="shared" si="5"/>
        <v>20.60846153846154</v>
      </c>
    </row>
    <row r="141" spans="1:12" x14ac:dyDescent="0.35">
      <c r="A141">
        <v>13</v>
      </c>
      <c r="B141" s="46">
        <v>45994</v>
      </c>
      <c r="D141" s="2">
        <v>8</v>
      </c>
      <c r="E141" s="59">
        <f t="shared" si="6"/>
        <v>5.4615384615384617</v>
      </c>
      <c r="F141" s="52">
        <f>'Tabla jerseys'!$D141+'Tabla jerseys'!$E141</f>
        <v>13.461538461538462</v>
      </c>
      <c r="G141" t="s">
        <v>34</v>
      </c>
      <c r="I141" t="s">
        <v>14</v>
      </c>
      <c r="J141" s="28">
        <v>46036</v>
      </c>
      <c r="K141">
        <v>34.07</v>
      </c>
      <c r="L141" s="53">
        <f t="shared" si="5"/>
        <v>20.60846153846154</v>
      </c>
    </row>
    <row r="142" spans="1:12" x14ac:dyDescent="0.35">
      <c r="A142">
        <v>13</v>
      </c>
      <c r="B142" s="46">
        <v>45994</v>
      </c>
      <c r="D142" s="2">
        <v>8</v>
      </c>
      <c r="E142" s="59">
        <f t="shared" si="6"/>
        <v>5.4615384615384617</v>
      </c>
      <c r="F142" s="52">
        <f>'Tabla jerseys'!$D142+'Tabla jerseys'!$E142</f>
        <v>13.461538461538462</v>
      </c>
      <c r="G142" t="s">
        <v>34</v>
      </c>
      <c r="I142" t="s">
        <v>24</v>
      </c>
      <c r="J142" s="28"/>
      <c r="L142" s="53">
        <f t="shared" si="5"/>
        <v>-13.461538461538462</v>
      </c>
    </row>
    <row r="143" spans="1:12" x14ac:dyDescent="0.35">
      <c r="A143">
        <v>14</v>
      </c>
      <c r="B143" s="28">
        <v>46022</v>
      </c>
      <c r="D143" s="2">
        <v>8</v>
      </c>
      <c r="E143" s="2">
        <f t="shared" ref="E143:E169" si="7">171.3/28</f>
        <v>6.1178571428571429</v>
      </c>
      <c r="F143" s="52">
        <f>'Tabla jerseys'!$D143+'Tabla jerseys'!$E143</f>
        <v>14.117857142857144</v>
      </c>
      <c r="G143" t="s">
        <v>31</v>
      </c>
      <c r="I143" t="s">
        <v>17</v>
      </c>
      <c r="J143" s="28">
        <v>46059</v>
      </c>
      <c r="K143">
        <v>31.82</v>
      </c>
      <c r="L143" s="53">
        <f t="shared" si="5"/>
        <v>17.702142857142857</v>
      </c>
    </row>
    <row r="144" spans="1:12" x14ac:dyDescent="0.35">
      <c r="A144">
        <v>14</v>
      </c>
      <c r="B144" s="28">
        <v>46022</v>
      </c>
      <c r="D144" s="2">
        <v>8</v>
      </c>
      <c r="E144" s="2">
        <f t="shared" si="7"/>
        <v>6.1178571428571429</v>
      </c>
      <c r="F144" s="52">
        <f>'Tabla jerseys'!$D144+'Tabla jerseys'!$E144</f>
        <v>14.117857142857144</v>
      </c>
      <c r="G144" t="s">
        <v>31</v>
      </c>
      <c r="I144" t="s">
        <v>14</v>
      </c>
      <c r="J144" s="28">
        <v>46049</v>
      </c>
      <c r="K144">
        <v>29.04</v>
      </c>
      <c r="L144" s="53">
        <f t="shared" si="5"/>
        <v>14.922142857142855</v>
      </c>
    </row>
    <row r="145" spans="1:12" x14ac:dyDescent="0.35">
      <c r="A145">
        <v>14</v>
      </c>
      <c r="B145" s="28">
        <v>46022</v>
      </c>
      <c r="D145" s="2">
        <v>8</v>
      </c>
      <c r="E145" s="2">
        <f t="shared" si="7"/>
        <v>6.1178571428571429</v>
      </c>
      <c r="F145" s="52">
        <f>'Tabla jerseys'!$D145+'Tabla jerseys'!$E145</f>
        <v>14.117857142857144</v>
      </c>
      <c r="G145" t="s">
        <v>31</v>
      </c>
      <c r="I145" t="s">
        <v>14</v>
      </c>
      <c r="J145" s="28">
        <v>46053</v>
      </c>
      <c r="K145">
        <v>28.63</v>
      </c>
      <c r="L145" s="53">
        <f t="shared" si="5"/>
        <v>14.512142857142855</v>
      </c>
    </row>
    <row r="146" spans="1:12" x14ac:dyDescent="0.35">
      <c r="A146">
        <v>14</v>
      </c>
      <c r="B146" s="28">
        <v>46022</v>
      </c>
      <c r="D146" s="2">
        <v>8</v>
      </c>
      <c r="E146" s="2">
        <f t="shared" si="7"/>
        <v>6.1178571428571429</v>
      </c>
      <c r="F146" s="52">
        <f>'Tabla jerseys'!$D146+'Tabla jerseys'!$E146</f>
        <v>14.117857142857144</v>
      </c>
      <c r="G146" t="s">
        <v>31</v>
      </c>
      <c r="I146" t="s">
        <v>24</v>
      </c>
      <c r="J146" s="28"/>
      <c r="L146" s="53">
        <f t="shared" si="5"/>
        <v>-14.117857142857144</v>
      </c>
    </row>
    <row r="147" spans="1:12" x14ac:dyDescent="0.35">
      <c r="A147">
        <v>14</v>
      </c>
      <c r="B147" s="28">
        <v>46022</v>
      </c>
      <c r="D147" s="2">
        <v>8</v>
      </c>
      <c r="E147" s="2">
        <f t="shared" si="7"/>
        <v>6.1178571428571429</v>
      </c>
      <c r="F147" s="52">
        <f>'Tabla jerseys'!$D147+'Tabla jerseys'!$E147</f>
        <v>14.117857142857144</v>
      </c>
      <c r="G147" t="s">
        <v>31</v>
      </c>
      <c r="I147" t="s">
        <v>24</v>
      </c>
      <c r="J147" s="28">
        <v>46074</v>
      </c>
      <c r="K147">
        <v>32.1</v>
      </c>
      <c r="L147" s="53">
        <f t="shared" si="5"/>
        <v>17.982142857142858</v>
      </c>
    </row>
    <row r="148" spans="1:12" x14ac:dyDescent="0.35">
      <c r="A148">
        <v>14</v>
      </c>
      <c r="B148" s="28">
        <v>46022</v>
      </c>
      <c r="D148" s="2">
        <v>8</v>
      </c>
      <c r="E148" s="2">
        <f t="shared" si="7"/>
        <v>6.1178571428571429</v>
      </c>
      <c r="F148" s="52">
        <f>'Tabla jerseys'!$D148+'Tabla jerseys'!$E148</f>
        <v>14.117857142857144</v>
      </c>
      <c r="G148" t="s">
        <v>31</v>
      </c>
      <c r="I148" t="s">
        <v>123</v>
      </c>
      <c r="J148" s="28">
        <v>46074</v>
      </c>
      <c r="K148">
        <v>32.1</v>
      </c>
      <c r="L148" s="53">
        <f t="shared" si="5"/>
        <v>17.982142857142858</v>
      </c>
    </row>
    <row r="149" spans="1:12" x14ac:dyDescent="0.35">
      <c r="A149">
        <v>14</v>
      </c>
      <c r="B149" s="28">
        <v>46022</v>
      </c>
      <c r="D149" s="2">
        <v>8</v>
      </c>
      <c r="E149" s="2">
        <f t="shared" si="7"/>
        <v>6.1178571428571429</v>
      </c>
      <c r="F149" s="52">
        <f>'Tabla jerseys'!$D149+'Tabla jerseys'!$E149</f>
        <v>14.117857142857144</v>
      </c>
      <c r="G149" t="s">
        <v>31</v>
      </c>
      <c r="I149" t="s">
        <v>123</v>
      </c>
      <c r="J149" s="28">
        <v>46072</v>
      </c>
      <c r="K149">
        <v>32.1</v>
      </c>
      <c r="L149" s="53">
        <f t="shared" si="5"/>
        <v>17.982142857142858</v>
      </c>
    </row>
    <row r="150" spans="1:12" x14ac:dyDescent="0.35">
      <c r="A150">
        <v>14</v>
      </c>
      <c r="B150" s="28">
        <v>46022</v>
      </c>
      <c r="D150" s="2">
        <v>8</v>
      </c>
      <c r="E150" s="2">
        <f t="shared" si="7"/>
        <v>6.1178571428571429</v>
      </c>
      <c r="F150" s="52">
        <f>'Tabla jerseys'!$D150+'Tabla jerseys'!$E150</f>
        <v>14.117857142857144</v>
      </c>
      <c r="G150" t="s">
        <v>114</v>
      </c>
      <c r="I150" t="s">
        <v>17</v>
      </c>
      <c r="J150" s="28">
        <v>46051</v>
      </c>
      <c r="K150">
        <v>27.59</v>
      </c>
      <c r="L150" s="53">
        <f t="shared" si="5"/>
        <v>13.472142857142856</v>
      </c>
    </row>
    <row r="151" spans="1:12" x14ac:dyDescent="0.35">
      <c r="A151">
        <v>14</v>
      </c>
      <c r="B151" s="28">
        <v>46022</v>
      </c>
      <c r="D151" s="2">
        <v>8</v>
      </c>
      <c r="E151" s="2">
        <f t="shared" si="7"/>
        <v>6.1178571428571429</v>
      </c>
      <c r="F151" s="52">
        <f>'Tabla jerseys'!$D151+'Tabla jerseys'!$E151</f>
        <v>14.117857142857144</v>
      </c>
      <c r="G151" t="s">
        <v>114</v>
      </c>
      <c r="I151" t="s">
        <v>14</v>
      </c>
      <c r="J151" s="28">
        <v>46051</v>
      </c>
      <c r="K151">
        <v>27.59</v>
      </c>
      <c r="L151" s="53">
        <f t="shared" si="5"/>
        <v>13.472142857142856</v>
      </c>
    </row>
    <row r="152" spans="1:12" x14ac:dyDescent="0.35">
      <c r="A152">
        <v>14</v>
      </c>
      <c r="B152" s="28">
        <v>46022</v>
      </c>
      <c r="D152" s="2">
        <v>8</v>
      </c>
      <c r="E152" s="2">
        <f t="shared" si="7"/>
        <v>6.1178571428571429</v>
      </c>
      <c r="F152" s="52">
        <f>'Tabla jerseys'!$D152+'Tabla jerseys'!$E152</f>
        <v>14.117857142857144</v>
      </c>
      <c r="G152" t="s">
        <v>114</v>
      </c>
      <c r="I152" t="s">
        <v>14</v>
      </c>
      <c r="J152" s="28">
        <v>46053</v>
      </c>
      <c r="K152">
        <v>28.63</v>
      </c>
      <c r="L152" s="53">
        <f t="shared" si="5"/>
        <v>14.512142857142855</v>
      </c>
    </row>
    <row r="153" spans="1:12" x14ac:dyDescent="0.35">
      <c r="A153">
        <v>14</v>
      </c>
      <c r="B153" s="28">
        <v>46022</v>
      </c>
      <c r="D153" s="2">
        <v>8</v>
      </c>
      <c r="E153" s="2">
        <f t="shared" si="7"/>
        <v>6.1178571428571429</v>
      </c>
      <c r="F153" s="52">
        <f>'Tabla jerseys'!$D153+'Tabla jerseys'!$E153</f>
        <v>14.117857142857144</v>
      </c>
      <c r="G153" t="s">
        <v>114</v>
      </c>
      <c r="I153" t="s">
        <v>24</v>
      </c>
      <c r="J153" s="28">
        <v>46051</v>
      </c>
      <c r="K153">
        <v>27.59</v>
      </c>
      <c r="L153" s="53">
        <f t="shared" si="5"/>
        <v>13.472142857142856</v>
      </c>
    </row>
    <row r="154" spans="1:12" x14ac:dyDescent="0.35">
      <c r="A154">
        <v>14</v>
      </c>
      <c r="B154" s="28">
        <v>46022</v>
      </c>
      <c r="D154" s="2">
        <v>8</v>
      </c>
      <c r="E154" s="2">
        <f t="shared" si="7"/>
        <v>6.1178571428571429</v>
      </c>
      <c r="F154" s="52">
        <f>'Tabla jerseys'!$D154+'Tabla jerseys'!$E154</f>
        <v>14.117857142857144</v>
      </c>
      <c r="G154" t="s">
        <v>114</v>
      </c>
      <c r="I154" t="s">
        <v>24</v>
      </c>
      <c r="J154" s="28">
        <v>46051</v>
      </c>
      <c r="K154">
        <v>27.59</v>
      </c>
      <c r="L154" s="53">
        <f t="shared" si="5"/>
        <v>13.472142857142856</v>
      </c>
    </row>
    <row r="155" spans="1:12" x14ac:dyDescent="0.35">
      <c r="A155">
        <v>14</v>
      </c>
      <c r="B155" s="28">
        <v>46022</v>
      </c>
      <c r="D155" s="2">
        <v>8</v>
      </c>
      <c r="E155" s="2">
        <f t="shared" si="7"/>
        <v>6.1178571428571429</v>
      </c>
      <c r="F155" s="52">
        <f>'Tabla jerseys'!$D155+'Tabla jerseys'!$E155</f>
        <v>14.117857142857144</v>
      </c>
      <c r="G155" t="s">
        <v>114</v>
      </c>
      <c r="I155" t="s">
        <v>123</v>
      </c>
      <c r="J155" s="28">
        <v>46074</v>
      </c>
      <c r="K155">
        <v>31.58</v>
      </c>
      <c r="L155" s="53">
        <f t="shared" si="5"/>
        <v>17.462142857142855</v>
      </c>
    </row>
    <row r="156" spans="1:12" x14ac:dyDescent="0.35">
      <c r="A156">
        <v>14</v>
      </c>
      <c r="B156" s="28">
        <v>46022</v>
      </c>
      <c r="D156" s="2">
        <v>8</v>
      </c>
      <c r="E156" s="2">
        <f t="shared" si="7"/>
        <v>6.1178571428571429</v>
      </c>
      <c r="F156" s="52">
        <f>'Tabla jerseys'!$D156+'Tabla jerseys'!$E156</f>
        <v>14.117857142857144</v>
      </c>
      <c r="G156" t="s">
        <v>34</v>
      </c>
      <c r="I156" t="s">
        <v>17</v>
      </c>
      <c r="L156" s="53">
        <f t="shared" si="5"/>
        <v>-14.117857142857144</v>
      </c>
    </row>
    <row r="157" spans="1:12" x14ac:dyDescent="0.35">
      <c r="A157">
        <v>14</v>
      </c>
      <c r="B157" s="28">
        <v>46022</v>
      </c>
      <c r="D157" s="2">
        <v>8</v>
      </c>
      <c r="E157" s="2">
        <f t="shared" si="7"/>
        <v>6.1178571428571429</v>
      </c>
      <c r="F157" s="52">
        <f>'Tabla jerseys'!$D157+'Tabla jerseys'!$E157</f>
        <v>14.117857142857144</v>
      </c>
      <c r="G157" t="s">
        <v>34</v>
      </c>
      <c r="I157" t="s">
        <v>24</v>
      </c>
      <c r="L157" s="53">
        <f t="shared" si="5"/>
        <v>-14.117857142857144</v>
      </c>
    </row>
    <row r="158" spans="1:12" x14ac:dyDescent="0.35">
      <c r="A158">
        <v>14</v>
      </c>
      <c r="B158" s="28">
        <v>46022</v>
      </c>
      <c r="D158" s="2">
        <v>8</v>
      </c>
      <c r="E158" s="2">
        <f t="shared" si="7"/>
        <v>6.1178571428571429</v>
      </c>
      <c r="F158" s="52">
        <f>'Tabla jerseys'!$D158+'Tabla jerseys'!$E158</f>
        <v>14.117857142857144</v>
      </c>
      <c r="G158" t="s">
        <v>34</v>
      </c>
      <c r="I158" t="s">
        <v>123</v>
      </c>
      <c r="L158" s="53">
        <f t="shared" si="5"/>
        <v>-14.117857142857144</v>
      </c>
    </row>
    <row r="159" spans="1:12" x14ac:dyDescent="0.35">
      <c r="A159">
        <v>14</v>
      </c>
      <c r="B159" s="28">
        <v>46022</v>
      </c>
      <c r="D159" s="2">
        <v>6</v>
      </c>
      <c r="E159" s="2">
        <f t="shared" si="7"/>
        <v>6.1178571428571429</v>
      </c>
      <c r="F159" s="52">
        <f>'Tabla jerseys'!$D159+'Tabla jerseys'!$E159</f>
        <v>12.117857142857144</v>
      </c>
      <c r="G159" t="s">
        <v>53</v>
      </c>
      <c r="I159" t="s">
        <v>17</v>
      </c>
      <c r="J159" s="28">
        <v>46059</v>
      </c>
      <c r="K159">
        <v>31.49</v>
      </c>
      <c r="L159" s="53">
        <f t="shared" si="5"/>
        <v>19.372142857142855</v>
      </c>
    </row>
    <row r="160" spans="1:12" x14ac:dyDescent="0.35">
      <c r="A160">
        <v>14</v>
      </c>
      <c r="B160" s="28">
        <v>46022</v>
      </c>
      <c r="D160" s="2">
        <v>6</v>
      </c>
      <c r="E160" s="2">
        <f t="shared" si="7"/>
        <v>6.1178571428571429</v>
      </c>
      <c r="F160" s="52">
        <f>'Tabla jerseys'!$D160+'Tabla jerseys'!$E160</f>
        <v>12.117857142857144</v>
      </c>
      <c r="G160" t="s">
        <v>53</v>
      </c>
      <c r="I160" t="s">
        <v>14</v>
      </c>
      <c r="J160" s="28">
        <v>46054</v>
      </c>
      <c r="K160">
        <v>0</v>
      </c>
      <c r="L160" s="53">
        <f t="shared" si="5"/>
        <v>-12.117857142857144</v>
      </c>
    </row>
    <row r="161" spans="1:12" x14ac:dyDescent="0.35">
      <c r="A161">
        <v>14</v>
      </c>
      <c r="B161" s="28">
        <v>46022</v>
      </c>
      <c r="D161" s="2">
        <v>6</v>
      </c>
      <c r="E161" s="2">
        <f t="shared" si="7"/>
        <v>6.1178571428571429</v>
      </c>
      <c r="F161" s="52">
        <f>'Tabla jerseys'!$D161+'Tabla jerseys'!$E161</f>
        <v>12.117857142857144</v>
      </c>
      <c r="G161" t="s">
        <v>53</v>
      </c>
      <c r="I161" t="s">
        <v>24</v>
      </c>
      <c r="J161" s="28">
        <v>46055</v>
      </c>
      <c r="K161">
        <v>0</v>
      </c>
      <c r="L161" s="53">
        <f t="shared" si="5"/>
        <v>-12.117857142857144</v>
      </c>
    </row>
    <row r="162" spans="1:12" x14ac:dyDescent="0.35">
      <c r="A162">
        <v>14</v>
      </c>
      <c r="B162" s="28">
        <v>46022</v>
      </c>
      <c r="D162" s="2">
        <v>6</v>
      </c>
      <c r="E162" s="2">
        <f t="shared" si="7"/>
        <v>6.1178571428571429</v>
      </c>
      <c r="F162" s="52">
        <f>'Tabla jerseys'!$D162+'Tabla jerseys'!$E162</f>
        <v>12.117857142857144</v>
      </c>
      <c r="G162" t="s">
        <v>53</v>
      </c>
      <c r="I162" t="s">
        <v>123</v>
      </c>
      <c r="J162" s="28">
        <v>46064</v>
      </c>
      <c r="K162">
        <v>34.92</v>
      </c>
      <c r="L162" s="53">
        <f t="shared" si="5"/>
        <v>22.802142857142858</v>
      </c>
    </row>
    <row r="163" spans="1:12" x14ac:dyDescent="0.35">
      <c r="A163">
        <v>14</v>
      </c>
      <c r="B163" s="28">
        <v>46022</v>
      </c>
      <c r="D163" s="2">
        <v>6</v>
      </c>
      <c r="E163" s="2">
        <f t="shared" si="7"/>
        <v>6.1178571428571429</v>
      </c>
      <c r="F163" s="52">
        <f>'Tabla jerseys'!$D163+'Tabla jerseys'!$E163</f>
        <v>12.117857142857144</v>
      </c>
      <c r="G163" s="36" t="s">
        <v>76</v>
      </c>
      <c r="I163" t="s">
        <v>17</v>
      </c>
      <c r="J163" s="28">
        <v>46066</v>
      </c>
      <c r="K163">
        <v>29.18</v>
      </c>
      <c r="L163" s="53">
        <f t="shared" si="5"/>
        <v>17.062142857142856</v>
      </c>
    </row>
    <row r="164" spans="1:12" x14ac:dyDescent="0.35">
      <c r="A164">
        <v>14</v>
      </c>
      <c r="B164" s="28">
        <v>46022</v>
      </c>
      <c r="D164" s="2">
        <v>6</v>
      </c>
      <c r="E164" s="2">
        <f t="shared" si="7"/>
        <v>6.1178571428571429</v>
      </c>
      <c r="F164" s="52">
        <f>'Tabla jerseys'!$D164+'Tabla jerseys'!$E164</f>
        <v>12.117857142857144</v>
      </c>
      <c r="G164" s="36" t="s">
        <v>76</v>
      </c>
      <c r="I164" t="s">
        <v>14</v>
      </c>
      <c r="J164" s="28">
        <v>46053</v>
      </c>
      <c r="K164">
        <v>31.66</v>
      </c>
      <c r="L164" s="53">
        <f t="shared" si="5"/>
        <v>19.542142857142856</v>
      </c>
    </row>
    <row r="165" spans="1:12" x14ac:dyDescent="0.35">
      <c r="A165">
        <v>14</v>
      </c>
      <c r="B165" s="28">
        <v>46022</v>
      </c>
      <c r="D165" s="2">
        <v>6</v>
      </c>
      <c r="E165" s="2">
        <f t="shared" si="7"/>
        <v>6.1178571428571429</v>
      </c>
      <c r="F165" s="52">
        <f>'Tabla jerseys'!$D165+'Tabla jerseys'!$E165</f>
        <v>12.117857142857144</v>
      </c>
      <c r="G165" s="36" t="s">
        <v>76</v>
      </c>
      <c r="I165" t="s">
        <v>24</v>
      </c>
      <c r="J165" s="28">
        <v>46071</v>
      </c>
      <c r="K165">
        <v>39.75</v>
      </c>
      <c r="L165" s="53">
        <f t="shared" si="5"/>
        <v>27.632142857142856</v>
      </c>
    </row>
    <row r="166" spans="1:12" x14ac:dyDescent="0.35">
      <c r="A166">
        <v>14</v>
      </c>
      <c r="B166" s="28">
        <v>46022</v>
      </c>
      <c r="D166" s="2">
        <v>6</v>
      </c>
      <c r="E166" s="2">
        <f t="shared" si="7"/>
        <v>6.1178571428571429</v>
      </c>
      <c r="F166" s="52">
        <f>'Tabla jerseys'!$D166+'Tabla jerseys'!$E166</f>
        <v>12.117857142857144</v>
      </c>
      <c r="G166" t="s">
        <v>116</v>
      </c>
      <c r="I166" t="s">
        <v>17</v>
      </c>
      <c r="L166" s="53">
        <f t="shared" si="5"/>
        <v>-12.117857142857144</v>
      </c>
    </row>
    <row r="167" spans="1:12" x14ac:dyDescent="0.35">
      <c r="A167">
        <v>14</v>
      </c>
      <c r="B167" s="28">
        <v>46022</v>
      </c>
      <c r="D167" s="2">
        <v>6</v>
      </c>
      <c r="E167" s="2">
        <f t="shared" si="7"/>
        <v>6.1178571428571429</v>
      </c>
      <c r="F167" s="52">
        <f>'Tabla jerseys'!$D167+'Tabla jerseys'!$E167</f>
        <v>12.117857142857144</v>
      </c>
      <c r="G167" t="s">
        <v>116</v>
      </c>
      <c r="I167" t="s">
        <v>14</v>
      </c>
      <c r="L167" s="53">
        <f t="shared" si="5"/>
        <v>-12.117857142857144</v>
      </c>
    </row>
    <row r="168" spans="1:12" x14ac:dyDescent="0.35">
      <c r="A168">
        <v>14</v>
      </c>
      <c r="B168" s="28">
        <v>46022</v>
      </c>
      <c r="D168" s="2">
        <v>6</v>
      </c>
      <c r="E168" s="2">
        <f t="shared" si="7"/>
        <v>6.1178571428571429</v>
      </c>
      <c r="F168" s="52">
        <f>'Tabla jerseys'!$D168+'Tabla jerseys'!$E168</f>
        <v>12.117857142857144</v>
      </c>
      <c r="G168" t="s">
        <v>116</v>
      </c>
      <c r="I168" t="s">
        <v>24</v>
      </c>
      <c r="L168" s="53">
        <f t="shared" si="5"/>
        <v>-12.117857142857144</v>
      </c>
    </row>
    <row r="169" spans="1:12" x14ac:dyDescent="0.35">
      <c r="A169">
        <v>14</v>
      </c>
      <c r="B169" s="28">
        <v>46022</v>
      </c>
      <c r="D169" s="2">
        <v>6</v>
      </c>
      <c r="E169" s="2">
        <f t="shared" si="7"/>
        <v>6.1178571428571429</v>
      </c>
      <c r="F169" s="52">
        <f>'Tabla jerseys'!$D169+'Tabla jerseys'!$E169</f>
        <v>12.117857142857144</v>
      </c>
      <c r="G169" t="s">
        <v>112</v>
      </c>
      <c r="I169" t="s">
        <v>17</v>
      </c>
      <c r="J169" s="28">
        <v>46048</v>
      </c>
      <c r="K169">
        <v>31.66</v>
      </c>
      <c r="L169" s="53">
        <f t="shared" si="5"/>
        <v>19.542142857142856</v>
      </c>
    </row>
    <row r="170" spans="1:12" x14ac:dyDescent="0.35">
      <c r="A170">
        <v>14</v>
      </c>
      <c r="B170" s="28">
        <v>46022</v>
      </c>
      <c r="D170" s="2">
        <v>6</v>
      </c>
      <c r="E170" s="2">
        <f t="shared" ref="E170" si="8">171.3/28</f>
        <v>6.1178571428571429</v>
      </c>
      <c r="F170" s="52">
        <f>'Tabla jerseys'!$D170+'Tabla jerseys'!$E170</f>
        <v>12.117857142857144</v>
      </c>
      <c r="G170" t="s">
        <v>112</v>
      </c>
      <c r="I170" t="s">
        <v>123</v>
      </c>
      <c r="J170" s="28">
        <v>46065</v>
      </c>
      <c r="K170">
        <v>29.1</v>
      </c>
      <c r="L170" s="53">
        <f t="shared" ref="L170:L192" si="9">K170-F170</f>
        <v>16.982142857142858</v>
      </c>
    </row>
    <row r="171" spans="1:12" x14ac:dyDescent="0.35">
      <c r="A171">
        <v>15</v>
      </c>
      <c r="B171" s="28">
        <v>46040</v>
      </c>
      <c r="D171" s="2">
        <v>18</v>
      </c>
      <c r="E171" s="2">
        <f t="shared" ref="E171:E183" si="10">80/14</f>
        <v>5.7142857142857144</v>
      </c>
      <c r="F171" s="52">
        <f>'Tabla jerseys'!$D171+'Tabla jerseys'!$E171</f>
        <v>23.714285714285715</v>
      </c>
      <c r="G171" t="s">
        <v>119</v>
      </c>
      <c r="I171" t="s">
        <v>25</v>
      </c>
      <c r="J171" s="28">
        <v>46054</v>
      </c>
      <c r="K171">
        <v>39.75</v>
      </c>
      <c r="L171" s="53">
        <f t="shared" si="9"/>
        <v>16.035714285714285</v>
      </c>
    </row>
    <row r="172" spans="1:12" x14ac:dyDescent="0.35">
      <c r="A172">
        <v>15</v>
      </c>
      <c r="B172" s="28">
        <v>46040</v>
      </c>
      <c r="D172" s="2">
        <v>18</v>
      </c>
      <c r="E172" s="2">
        <f t="shared" si="10"/>
        <v>5.7142857142857144</v>
      </c>
      <c r="F172" s="52">
        <f>'Tabla jerseys'!$D172+'Tabla jerseys'!$E172</f>
        <v>23.714285714285715</v>
      </c>
      <c r="G172" t="s">
        <v>99</v>
      </c>
      <c r="I172" t="s">
        <v>24</v>
      </c>
      <c r="J172" s="28">
        <v>46054</v>
      </c>
      <c r="K172">
        <v>39.75</v>
      </c>
      <c r="L172" s="53">
        <f t="shared" si="9"/>
        <v>16.035714285714285</v>
      </c>
    </row>
    <row r="173" spans="1:12" x14ac:dyDescent="0.35">
      <c r="A173">
        <v>15</v>
      </c>
      <c r="B173" s="28">
        <v>46040</v>
      </c>
      <c r="D173" s="2">
        <v>18</v>
      </c>
      <c r="E173" s="2">
        <f t="shared" si="10"/>
        <v>5.7142857142857144</v>
      </c>
      <c r="F173" s="52">
        <f>'Tabla jerseys'!$D173+'Tabla jerseys'!$E173</f>
        <v>23.714285714285715</v>
      </c>
      <c r="G173" t="s">
        <v>99</v>
      </c>
      <c r="I173" t="s">
        <v>14</v>
      </c>
      <c r="J173" s="28">
        <v>46054</v>
      </c>
      <c r="K173">
        <v>39.75</v>
      </c>
      <c r="L173" s="53">
        <f t="shared" si="9"/>
        <v>16.035714285714285</v>
      </c>
    </row>
    <row r="174" spans="1:12" x14ac:dyDescent="0.35">
      <c r="A174">
        <v>15</v>
      </c>
      <c r="B174" s="28">
        <v>46040</v>
      </c>
      <c r="D174" s="2">
        <v>8</v>
      </c>
      <c r="E174" s="2">
        <f t="shared" si="10"/>
        <v>5.7142857142857144</v>
      </c>
      <c r="F174" s="52">
        <f>'Tabla jerseys'!$D174+'Tabla jerseys'!$E174</f>
        <v>13.714285714285715</v>
      </c>
      <c r="G174" t="s">
        <v>76</v>
      </c>
      <c r="I174" t="s">
        <v>14</v>
      </c>
      <c r="J174" s="28">
        <v>46054</v>
      </c>
      <c r="K174">
        <v>39.75</v>
      </c>
      <c r="L174" s="53">
        <f t="shared" si="9"/>
        <v>26.035714285714285</v>
      </c>
    </row>
    <row r="175" spans="1:12" x14ac:dyDescent="0.35">
      <c r="A175">
        <v>15</v>
      </c>
      <c r="B175" s="28">
        <v>46040</v>
      </c>
      <c r="D175" s="2">
        <v>18</v>
      </c>
      <c r="E175" s="2">
        <f t="shared" si="10"/>
        <v>5.7142857142857144</v>
      </c>
      <c r="F175" s="52">
        <f>'Tabla jerseys'!$D175+'Tabla jerseys'!$E175</f>
        <v>23.714285714285715</v>
      </c>
      <c r="G175" t="s">
        <v>120</v>
      </c>
      <c r="I175" t="s">
        <v>14</v>
      </c>
      <c r="J175" s="28"/>
      <c r="L175" s="53">
        <f t="shared" si="9"/>
        <v>-23.714285714285715</v>
      </c>
    </row>
    <row r="176" spans="1:12" x14ac:dyDescent="0.35">
      <c r="A176">
        <v>15</v>
      </c>
      <c r="B176" s="28">
        <v>46040</v>
      </c>
      <c r="D176" s="2">
        <v>6</v>
      </c>
      <c r="E176" s="2">
        <f t="shared" si="10"/>
        <v>5.7142857142857144</v>
      </c>
      <c r="F176" s="52">
        <f>'Tabla jerseys'!$D176+'Tabla jerseys'!$E176</f>
        <v>11.714285714285715</v>
      </c>
      <c r="G176" t="s">
        <v>34</v>
      </c>
      <c r="I176" t="s">
        <v>14</v>
      </c>
      <c r="L176" s="53">
        <f t="shared" si="9"/>
        <v>-11.714285714285715</v>
      </c>
    </row>
    <row r="177" spans="1:12" x14ac:dyDescent="0.35">
      <c r="A177">
        <v>15</v>
      </c>
      <c r="B177" s="28">
        <v>46040</v>
      </c>
      <c r="D177" s="2">
        <v>6</v>
      </c>
      <c r="E177" s="2">
        <f t="shared" si="10"/>
        <v>5.7142857142857144</v>
      </c>
      <c r="F177" s="52">
        <f>'Tabla jerseys'!$D177+'Tabla jerseys'!$E177</f>
        <v>11.714285714285715</v>
      </c>
      <c r="G177" t="s">
        <v>34</v>
      </c>
      <c r="I177" t="s">
        <v>14</v>
      </c>
      <c r="L177" s="53">
        <f t="shared" si="9"/>
        <v>-11.714285714285715</v>
      </c>
    </row>
    <row r="178" spans="1:12" x14ac:dyDescent="0.35">
      <c r="A178">
        <v>15</v>
      </c>
      <c r="B178" s="28">
        <v>46040</v>
      </c>
      <c r="D178" s="2">
        <v>6</v>
      </c>
      <c r="E178" s="2">
        <f t="shared" si="10"/>
        <v>5.7142857142857144</v>
      </c>
      <c r="F178" s="52">
        <f>'Tabla jerseys'!$D178+'Tabla jerseys'!$E178</f>
        <v>11.714285714285715</v>
      </c>
      <c r="G178" t="s">
        <v>34</v>
      </c>
      <c r="I178" t="s">
        <v>14</v>
      </c>
      <c r="L178" s="53">
        <f t="shared" si="9"/>
        <v>-11.714285714285715</v>
      </c>
    </row>
    <row r="179" spans="1:12" x14ac:dyDescent="0.35">
      <c r="A179">
        <v>15</v>
      </c>
      <c r="B179" s="28">
        <v>46040</v>
      </c>
      <c r="D179" s="2">
        <v>6</v>
      </c>
      <c r="E179" s="2">
        <f t="shared" si="10"/>
        <v>5.7142857142857144</v>
      </c>
      <c r="F179" s="52">
        <f>'Tabla jerseys'!$D179+'Tabla jerseys'!$E179</f>
        <v>11.714285714285715</v>
      </c>
      <c r="G179" t="s">
        <v>121</v>
      </c>
      <c r="I179" t="s">
        <v>14</v>
      </c>
      <c r="L179" s="53">
        <f t="shared" si="9"/>
        <v>-11.714285714285715</v>
      </c>
    </row>
    <row r="180" spans="1:12" x14ac:dyDescent="0.35">
      <c r="A180">
        <v>15</v>
      </c>
      <c r="B180" s="28">
        <v>46040</v>
      </c>
      <c r="D180" s="2">
        <v>8</v>
      </c>
      <c r="E180" s="2">
        <f t="shared" si="10"/>
        <v>5.7142857142857144</v>
      </c>
      <c r="F180" s="52">
        <f>'Tabla jerseys'!$D180+'Tabla jerseys'!$E180</f>
        <v>13.714285714285715</v>
      </c>
      <c r="G180" t="s">
        <v>121</v>
      </c>
      <c r="I180" t="s">
        <v>17</v>
      </c>
      <c r="L180" s="53">
        <f t="shared" si="9"/>
        <v>-13.714285714285715</v>
      </c>
    </row>
    <row r="181" spans="1:12" x14ac:dyDescent="0.35">
      <c r="A181">
        <v>15</v>
      </c>
      <c r="B181" s="28">
        <v>46040</v>
      </c>
      <c r="D181" s="2">
        <v>8</v>
      </c>
      <c r="E181" s="2">
        <f t="shared" si="10"/>
        <v>5.7142857142857144</v>
      </c>
      <c r="F181" s="52">
        <f>'Tabla jerseys'!$D181+'Tabla jerseys'!$E181</f>
        <v>13.714285714285715</v>
      </c>
      <c r="G181" t="s">
        <v>121</v>
      </c>
      <c r="I181" t="s">
        <v>14</v>
      </c>
      <c r="L181" s="53">
        <f t="shared" si="9"/>
        <v>-13.714285714285715</v>
      </c>
    </row>
    <row r="182" spans="1:12" x14ac:dyDescent="0.35">
      <c r="A182">
        <v>15</v>
      </c>
      <c r="B182" s="28">
        <v>46040</v>
      </c>
      <c r="D182" s="2">
        <v>11</v>
      </c>
      <c r="E182" s="2">
        <f t="shared" si="10"/>
        <v>5.7142857142857144</v>
      </c>
      <c r="F182" s="52">
        <f>'Tabla jerseys'!$D182+'Tabla jerseys'!$E182</f>
        <v>16.714285714285715</v>
      </c>
      <c r="G182" t="s">
        <v>121</v>
      </c>
      <c r="I182" t="s">
        <v>14</v>
      </c>
      <c r="J182" s="28">
        <v>46054</v>
      </c>
      <c r="K182">
        <v>39.75</v>
      </c>
      <c r="L182" s="53">
        <f t="shared" si="9"/>
        <v>23.035714285714285</v>
      </c>
    </row>
    <row r="183" spans="1:12" x14ac:dyDescent="0.35">
      <c r="A183">
        <v>15</v>
      </c>
      <c r="B183" s="28">
        <v>46040</v>
      </c>
      <c r="D183" s="2">
        <v>12</v>
      </c>
      <c r="E183" s="2">
        <f t="shared" si="10"/>
        <v>5.7142857142857144</v>
      </c>
      <c r="F183" s="52">
        <f>'Tabla jerseys'!$D183+'Tabla jerseys'!$E183</f>
        <v>17.714285714285715</v>
      </c>
      <c r="G183" t="s">
        <v>122</v>
      </c>
      <c r="I183" t="s">
        <v>14</v>
      </c>
      <c r="J183" s="28">
        <v>46054</v>
      </c>
      <c r="K183">
        <v>39.75</v>
      </c>
      <c r="L183" s="60">
        <f t="shared" si="9"/>
        <v>22.035714285714285</v>
      </c>
    </row>
    <row r="184" spans="1:12" x14ac:dyDescent="0.35">
      <c r="A184">
        <v>16</v>
      </c>
      <c r="B184" s="28">
        <v>46053</v>
      </c>
      <c r="D184" s="2"/>
      <c r="E184" s="2"/>
      <c r="F184" s="2">
        <v>11.19</v>
      </c>
      <c r="G184" t="s">
        <v>126</v>
      </c>
      <c r="I184" t="s">
        <v>17</v>
      </c>
      <c r="J184" s="28">
        <v>46058</v>
      </c>
      <c r="K184">
        <v>31.66</v>
      </c>
      <c r="L184" s="60">
        <f t="shared" si="9"/>
        <v>20.47</v>
      </c>
    </row>
    <row r="185" spans="1:12" x14ac:dyDescent="0.35">
      <c r="A185">
        <v>16</v>
      </c>
      <c r="B185" s="28">
        <v>46053</v>
      </c>
      <c r="D185" s="2"/>
      <c r="E185" s="2"/>
      <c r="F185" s="2">
        <v>11.19</v>
      </c>
      <c r="G185" t="s">
        <v>126</v>
      </c>
      <c r="I185" t="s">
        <v>14</v>
      </c>
      <c r="J185" s="28">
        <v>46059</v>
      </c>
      <c r="K185">
        <v>31.66</v>
      </c>
      <c r="L185" s="60">
        <f t="shared" si="9"/>
        <v>20.47</v>
      </c>
    </row>
    <row r="186" spans="1:12" x14ac:dyDescent="0.35">
      <c r="A186">
        <v>17</v>
      </c>
      <c r="B186" s="28">
        <v>46058</v>
      </c>
      <c r="D186" s="2"/>
      <c r="E186" s="2"/>
      <c r="F186" s="2">
        <v>11.19</v>
      </c>
      <c r="G186" t="s">
        <v>127</v>
      </c>
      <c r="I186" t="s">
        <v>14</v>
      </c>
      <c r="J186" s="28">
        <v>46054</v>
      </c>
      <c r="K186">
        <v>29.01</v>
      </c>
      <c r="L186" s="60">
        <f t="shared" si="9"/>
        <v>17.82</v>
      </c>
    </row>
    <row r="187" spans="1:12" x14ac:dyDescent="0.35">
      <c r="A187">
        <v>17</v>
      </c>
      <c r="B187" s="28">
        <v>46058</v>
      </c>
      <c r="D187" s="2"/>
      <c r="E187" s="2"/>
      <c r="F187" s="2">
        <v>11.19</v>
      </c>
      <c r="G187" t="s">
        <v>128</v>
      </c>
      <c r="I187" t="s">
        <v>14</v>
      </c>
      <c r="J187" s="28">
        <v>46054</v>
      </c>
      <c r="K187">
        <v>34.81</v>
      </c>
      <c r="L187" s="60">
        <f t="shared" si="9"/>
        <v>23.620000000000005</v>
      </c>
    </row>
    <row r="188" spans="1:12" x14ac:dyDescent="0.35">
      <c r="A188">
        <v>19</v>
      </c>
      <c r="B188" s="28">
        <v>46059</v>
      </c>
      <c r="D188" s="2"/>
      <c r="E188" s="2"/>
      <c r="F188" s="2">
        <v>15.06</v>
      </c>
      <c r="G188" t="s">
        <v>112</v>
      </c>
      <c r="I188" t="s">
        <v>17</v>
      </c>
      <c r="J188" s="28">
        <v>46074</v>
      </c>
      <c r="K188">
        <v>32.1</v>
      </c>
      <c r="L188" s="60">
        <f t="shared" si="9"/>
        <v>17.04</v>
      </c>
    </row>
    <row r="189" spans="1:12" x14ac:dyDescent="0.35">
      <c r="A189">
        <v>19</v>
      </c>
      <c r="B189" s="28">
        <v>46059</v>
      </c>
      <c r="D189" s="2"/>
      <c r="E189" s="2"/>
      <c r="F189" s="2">
        <v>15.06</v>
      </c>
      <c r="G189" t="s">
        <v>112</v>
      </c>
      <c r="I189" t="s">
        <v>17</v>
      </c>
      <c r="J189" s="28">
        <v>46078</v>
      </c>
      <c r="K189">
        <v>32.049999999999997</v>
      </c>
      <c r="L189" s="60">
        <f t="shared" si="9"/>
        <v>16.989999999999995</v>
      </c>
    </row>
    <row r="190" spans="1:12" x14ac:dyDescent="0.35">
      <c r="A190">
        <v>19</v>
      </c>
      <c r="B190" s="28">
        <v>46059</v>
      </c>
      <c r="D190" s="2"/>
      <c r="E190" s="2"/>
      <c r="F190" s="2">
        <v>15.06</v>
      </c>
      <c r="G190" t="s">
        <v>112</v>
      </c>
      <c r="I190" t="s">
        <v>14</v>
      </c>
      <c r="L190" s="60">
        <f t="shared" si="9"/>
        <v>-15.06</v>
      </c>
    </row>
    <row r="191" spans="1:12" x14ac:dyDescent="0.35">
      <c r="A191">
        <v>19</v>
      </c>
      <c r="B191" s="28">
        <v>46059</v>
      </c>
      <c r="D191" s="2"/>
      <c r="E191" s="2"/>
      <c r="F191" s="2">
        <v>15.06</v>
      </c>
      <c r="G191" t="s">
        <v>112</v>
      </c>
      <c r="I191" t="s">
        <v>14</v>
      </c>
      <c r="L191" s="60">
        <f t="shared" si="9"/>
        <v>-15.06</v>
      </c>
    </row>
    <row r="192" spans="1:12" x14ac:dyDescent="0.35">
      <c r="A192">
        <v>19</v>
      </c>
      <c r="B192" s="28">
        <v>46059</v>
      </c>
      <c r="D192" s="2"/>
      <c r="E192" s="2"/>
      <c r="F192" s="2">
        <v>15.06</v>
      </c>
      <c r="G192" t="s">
        <v>112</v>
      </c>
      <c r="I192" t="s">
        <v>24</v>
      </c>
      <c r="L192" s="60">
        <f t="shared" si="9"/>
        <v>-15.06</v>
      </c>
    </row>
    <row r="194" spans="6:6" x14ac:dyDescent="0.35">
      <c r="F194">
        <f>AVERAGE(Tabla2[[ Costo total ]])</f>
        <v>15.065370231862401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25C8-847A-493F-B51F-2E185233E9D1}">
  <sheetPr codeName="Hoja2"/>
  <dimension ref="A1:Q95"/>
  <sheetViews>
    <sheetView topLeftCell="A88" zoomScale="92" zoomScaleNormal="59" workbookViewId="0">
      <selection activeCell="J24" sqref="J24"/>
    </sheetView>
  </sheetViews>
  <sheetFormatPr baseColWidth="10" defaultRowHeight="14.5" x14ac:dyDescent="0.35"/>
  <cols>
    <col min="2" max="2" width="16.81640625" customWidth="1"/>
    <col min="3" max="3" width="14.36328125" customWidth="1"/>
    <col min="5" max="5" width="15.90625" customWidth="1"/>
    <col min="6" max="6" width="12.7265625" customWidth="1"/>
    <col min="7" max="7" width="39.1796875" customWidth="1"/>
    <col min="8" max="8" width="12.90625" bestFit="1" customWidth="1"/>
    <col min="9" max="9" width="13.36328125" bestFit="1" customWidth="1"/>
    <col min="10" max="11" width="15.26953125" customWidth="1"/>
    <col min="13" max="13" width="10.90625" customWidth="1"/>
    <col min="14" max="14" width="32.6328125" customWidth="1"/>
    <col min="15" max="15" width="22.90625" bestFit="1" customWidth="1"/>
  </cols>
  <sheetData>
    <row r="1" spans="1:17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</row>
    <row r="2" spans="1:17" x14ac:dyDescent="0.35">
      <c r="A2" s="13">
        <v>1</v>
      </c>
      <c r="B2" s="6">
        <v>45820</v>
      </c>
      <c r="C2" s="6">
        <v>45841</v>
      </c>
      <c r="D2" s="7">
        <v>11</v>
      </c>
      <c r="E2" s="7">
        <v>6</v>
      </c>
      <c r="F2" s="7">
        <f>Tabla22[[#This Row],[ Costo ]]+E2</f>
        <v>17</v>
      </c>
      <c r="G2" s="5" t="s">
        <v>12</v>
      </c>
      <c r="H2" s="5" t="s">
        <v>13</v>
      </c>
      <c r="I2" s="5" t="s">
        <v>14</v>
      </c>
      <c r="J2" s="6">
        <v>45841</v>
      </c>
      <c r="K2" s="8">
        <v>48.19</v>
      </c>
      <c r="L2" s="15">
        <f t="shared" ref="L2:L33" si="0">K2-F2</f>
        <v>31.189999999999998</v>
      </c>
      <c r="M2" s="25"/>
      <c r="Q2" s="3"/>
    </row>
    <row r="3" spans="1:17" x14ac:dyDescent="0.35">
      <c r="A3" s="14">
        <v>1</v>
      </c>
      <c r="B3" s="10">
        <v>45820</v>
      </c>
      <c r="C3" s="10">
        <v>45841</v>
      </c>
      <c r="D3" s="11">
        <v>11</v>
      </c>
      <c r="E3" s="11">
        <v>6</v>
      </c>
      <c r="F3" s="7">
        <f>Tabla22[[#This Row],[ Costo ]]+E3</f>
        <v>17</v>
      </c>
      <c r="G3" s="9" t="s">
        <v>12</v>
      </c>
      <c r="H3" s="9" t="s">
        <v>13</v>
      </c>
      <c r="I3" s="9" t="s">
        <v>14</v>
      </c>
      <c r="J3" s="10">
        <v>45841</v>
      </c>
      <c r="K3" s="12">
        <v>48.19</v>
      </c>
      <c r="L3" s="15">
        <f t="shared" si="0"/>
        <v>31.189999999999998</v>
      </c>
    </row>
    <row r="4" spans="1:17" x14ac:dyDescent="0.35">
      <c r="A4" s="13">
        <v>1</v>
      </c>
      <c r="B4" s="6">
        <v>45820</v>
      </c>
      <c r="C4" s="6">
        <v>45841</v>
      </c>
      <c r="D4" s="7">
        <v>10.5</v>
      </c>
      <c r="E4" s="7">
        <v>6</v>
      </c>
      <c r="F4" s="7">
        <f>Tabla22[[#This Row],[ Costo ]]+E4</f>
        <v>16.5</v>
      </c>
      <c r="G4" s="5" t="s">
        <v>15</v>
      </c>
      <c r="H4" s="5" t="s">
        <v>16</v>
      </c>
      <c r="I4" s="5" t="s">
        <v>14</v>
      </c>
      <c r="J4" s="6">
        <v>45841</v>
      </c>
      <c r="K4" s="8">
        <v>40</v>
      </c>
      <c r="L4" s="15">
        <f t="shared" si="0"/>
        <v>23.5</v>
      </c>
    </row>
    <row r="5" spans="1:17" x14ac:dyDescent="0.35">
      <c r="A5" s="14">
        <v>3</v>
      </c>
      <c r="B5" s="10">
        <v>45849</v>
      </c>
      <c r="C5" s="6">
        <v>45881</v>
      </c>
      <c r="D5" s="11">
        <v>10.5</v>
      </c>
      <c r="E5" s="7">
        <v>5.92</v>
      </c>
      <c r="F5" s="7">
        <f>Tabla22[[#This Row],[ Costo ]]+E5</f>
        <v>16.420000000000002</v>
      </c>
      <c r="G5" s="5" t="s">
        <v>53</v>
      </c>
      <c r="H5" s="5" t="s">
        <v>54</v>
      </c>
      <c r="I5" s="5" t="s">
        <v>14</v>
      </c>
      <c r="J5" s="6">
        <v>45882</v>
      </c>
      <c r="K5" s="8">
        <v>37.67</v>
      </c>
      <c r="L5" s="15">
        <f t="shared" si="0"/>
        <v>21.25</v>
      </c>
      <c r="N5" t="s">
        <v>65</v>
      </c>
      <c r="O5">
        <f>COUNT('power bi'!$L$2:$L$87)</f>
        <v>86</v>
      </c>
    </row>
    <row r="6" spans="1:17" x14ac:dyDescent="0.35">
      <c r="A6" s="13">
        <v>3</v>
      </c>
      <c r="B6" s="6">
        <v>45849</v>
      </c>
      <c r="C6" s="6">
        <v>45881</v>
      </c>
      <c r="D6" s="7">
        <v>10.5</v>
      </c>
      <c r="E6" s="7">
        <v>5.92</v>
      </c>
      <c r="F6" s="7">
        <f>Tabla22[[#This Row],[ Costo ]]+E6</f>
        <v>16.420000000000002</v>
      </c>
      <c r="G6" s="5" t="s">
        <v>47</v>
      </c>
      <c r="H6" s="5" t="s">
        <v>48</v>
      </c>
      <c r="I6" s="5" t="s">
        <v>17</v>
      </c>
      <c r="J6" s="6">
        <v>45882</v>
      </c>
      <c r="K6" s="8">
        <v>37.67</v>
      </c>
      <c r="L6" s="15">
        <f t="shared" si="0"/>
        <v>21.25</v>
      </c>
      <c r="N6" t="s">
        <v>58</v>
      </c>
      <c r="O6">
        <f>COUNTIF('power bi'!$L$2:$L$87,"&gt;0")</f>
        <v>46</v>
      </c>
    </row>
    <row r="7" spans="1:17" x14ac:dyDescent="0.35">
      <c r="A7" s="13">
        <v>2</v>
      </c>
      <c r="B7" s="6">
        <v>45840</v>
      </c>
      <c r="C7" s="6">
        <v>45860</v>
      </c>
      <c r="D7" s="7">
        <v>11</v>
      </c>
      <c r="E7" s="7">
        <v>6</v>
      </c>
      <c r="F7" s="7">
        <f>Tabla22[[#This Row],[ Costo ]]+E7</f>
        <v>17</v>
      </c>
      <c r="G7" s="5" t="s">
        <v>12</v>
      </c>
      <c r="H7" s="5" t="s">
        <v>13</v>
      </c>
      <c r="I7" s="5" t="s">
        <v>17</v>
      </c>
      <c r="J7" s="6">
        <v>45862</v>
      </c>
      <c r="K7" s="8">
        <v>37.630000000000003</v>
      </c>
      <c r="L7" s="15">
        <f t="shared" si="0"/>
        <v>20.630000000000003</v>
      </c>
      <c r="N7" t="s">
        <v>59</v>
      </c>
      <c r="O7">
        <f>COUNTIF('power bi'!$L$2:$L$87,"&lt;0")</f>
        <v>39</v>
      </c>
      <c r="Q7" s="27"/>
    </row>
    <row r="8" spans="1:17" x14ac:dyDescent="0.35">
      <c r="A8" s="14">
        <v>1</v>
      </c>
      <c r="B8" s="10">
        <v>45820</v>
      </c>
      <c r="C8" s="10">
        <v>45841</v>
      </c>
      <c r="D8" s="11">
        <v>10.5</v>
      </c>
      <c r="E8" s="7">
        <v>6</v>
      </c>
      <c r="F8" s="7">
        <f>Tabla22[[#This Row],[ Costo ]]+E8</f>
        <v>16.5</v>
      </c>
      <c r="G8" s="5" t="s">
        <v>15</v>
      </c>
      <c r="H8" s="5" t="s">
        <v>16</v>
      </c>
      <c r="I8" s="5" t="s">
        <v>14</v>
      </c>
      <c r="J8" s="6">
        <v>45845</v>
      </c>
      <c r="K8" s="8">
        <v>37.6</v>
      </c>
      <c r="L8" s="15">
        <f t="shared" si="0"/>
        <v>21.1</v>
      </c>
      <c r="N8" t="s">
        <v>60</v>
      </c>
      <c r="O8" s="1">
        <f>SUM('power bi'!$F$2:$F$87)</f>
        <v>1294.3499999999997</v>
      </c>
    </row>
    <row r="9" spans="1:17" x14ac:dyDescent="0.35">
      <c r="A9" s="13">
        <v>1</v>
      </c>
      <c r="B9" s="6">
        <v>45820</v>
      </c>
      <c r="C9" s="6">
        <v>45841</v>
      </c>
      <c r="D9" s="7">
        <v>10.5</v>
      </c>
      <c r="E9" s="7">
        <v>6</v>
      </c>
      <c r="F9" s="7">
        <f>Tabla22[[#This Row],[ Costo ]]+E9</f>
        <v>16.5</v>
      </c>
      <c r="G9" s="5" t="s">
        <v>12</v>
      </c>
      <c r="H9" s="5" t="s">
        <v>18</v>
      </c>
      <c r="I9" s="5" t="s">
        <v>14</v>
      </c>
      <c r="J9" s="6">
        <v>45844</v>
      </c>
      <c r="K9" s="8">
        <v>37.57</v>
      </c>
      <c r="L9" s="15">
        <f t="shared" si="0"/>
        <v>21.07</v>
      </c>
      <c r="N9" t="s">
        <v>61</v>
      </c>
      <c r="O9" s="3">
        <f>SUM('power bi'!$K$2:$K$87)</f>
        <v>1453.9399999999998</v>
      </c>
    </row>
    <row r="10" spans="1:17" x14ac:dyDescent="0.35">
      <c r="A10" s="13">
        <v>3</v>
      </c>
      <c r="B10" s="6">
        <v>45849</v>
      </c>
      <c r="C10" s="6">
        <v>45881</v>
      </c>
      <c r="D10" s="7">
        <v>10.5</v>
      </c>
      <c r="E10" s="7">
        <v>5.92</v>
      </c>
      <c r="F10" s="7">
        <f>Tabla22[[#This Row],[ Costo ]]+E10</f>
        <v>16.420000000000002</v>
      </c>
      <c r="G10" s="5" t="s">
        <v>53</v>
      </c>
      <c r="H10" s="5" t="s">
        <v>54</v>
      </c>
      <c r="I10" s="5" t="s">
        <v>14</v>
      </c>
      <c r="J10" s="6">
        <v>45882</v>
      </c>
      <c r="K10" s="8">
        <v>34.979999999999997</v>
      </c>
      <c r="L10" s="15">
        <f t="shared" si="0"/>
        <v>18.559999999999995</v>
      </c>
      <c r="N10" t="s">
        <v>11</v>
      </c>
      <c r="O10" s="3">
        <f>O9-O8</f>
        <v>159.59000000000015</v>
      </c>
    </row>
    <row r="11" spans="1:17" x14ac:dyDescent="0.35">
      <c r="A11" s="13">
        <v>7</v>
      </c>
      <c r="B11" s="6"/>
      <c r="C11" s="6"/>
      <c r="D11" s="7">
        <v>10</v>
      </c>
      <c r="E11" s="7">
        <v>5.33</v>
      </c>
      <c r="F11" s="7">
        <f>Tabla22[[#This Row],[ Costo ]]+E11</f>
        <v>15.33</v>
      </c>
      <c r="G11" s="5" t="s">
        <v>27</v>
      </c>
      <c r="H11" s="5"/>
      <c r="I11" s="5" t="s">
        <v>25</v>
      </c>
      <c r="J11" s="6">
        <v>45930</v>
      </c>
      <c r="K11" s="8">
        <v>34.840000000000003</v>
      </c>
      <c r="L11" s="15">
        <f t="shared" si="0"/>
        <v>19.510000000000005</v>
      </c>
      <c r="M11" s="1"/>
      <c r="N11" t="s">
        <v>62</v>
      </c>
      <c r="O11" s="2">
        <f>SUMIF('power bi'!$L$2:$L$87,"&lt;0",'power bi'!$F$2:$F$87)</f>
        <v>603.79999999999995</v>
      </c>
    </row>
    <row r="12" spans="1:17" x14ac:dyDescent="0.35">
      <c r="A12" s="13">
        <v>3</v>
      </c>
      <c r="B12" s="6">
        <v>45849</v>
      </c>
      <c r="C12" s="6">
        <v>45881</v>
      </c>
      <c r="D12" s="7">
        <v>12</v>
      </c>
      <c r="E12" s="7">
        <v>5.92</v>
      </c>
      <c r="F12" s="7">
        <f>Tabla22[[#This Row],[ Costo ]]+E12</f>
        <v>17.920000000000002</v>
      </c>
      <c r="G12" s="5" t="s">
        <v>15</v>
      </c>
      <c r="H12" s="5" t="s">
        <v>52</v>
      </c>
      <c r="I12" s="5" t="s">
        <v>14</v>
      </c>
      <c r="J12" s="6">
        <v>45899</v>
      </c>
      <c r="K12" s="8">
        <v>34.840000000000003</v>
      </c>
      <c r="L12" s="15">
        <f t="shared" si="0"/>
        <v>16.920000000000002</v>
      </c>
      <c r="N12" t="s">
        <v>63</v>
      </c>
      <c r="O12" s="2">
        <f>AVERAGEIF('power bi'!$L$2:$L$87,"&gt;0",'power bi'!$L$2:$L$87)</f>
        <v>16.595434782608699</v>
      </c>
    </row>
    <row r="13" spans="1:17" x14ac:dyDescent="0.35">
      <c r="A13" s="13">
        <v>4</v>
      </c>
      <c r="B13" s="6">
        <v>45873</v>
      </c>
      <c r="C13" s="6">
        <v>45893</v>
      </c>
      <c r="D13" s="7">
        <v>10.5</v>
      </c>
      <c r="E13" s="7"/>
      <c r="F13" s="7">
        <f>Tabla22[[#This Row],[ Costo ]]+E13</f>
        <v>10.5</v>
      </c>
      <c r="G13" s="5" t="s">
        <v>12</v>
      </c>
      <c r="H13" s="5" t="s">
        <v>18</v>
      </c>
      <c r="I13" s="5" t="s">
        <v>25</v>
      </c>
      <c r="J13" s="6">
        <v>45896</v>
      </c>
      <c r="K13" s="8">
        <v>34.07</v>
      </c>
      <c r="L13" s="15">
        <f t="shared" si="0"/>
        <v>23.57</v>
      </c>
      <c r="N13" t="s">
        <v>64</v>
      </c>
      <c r="O13" s="3">
        <f>O12*O5</f>
        <v>1427.207391304348</v>
      </c>
    </row>
    <row r="14" spans="1:17" x14ac:dyDescent="0.35">
      <c r="A14" s="13">
        <v>5</v>
      </c>
      <c r="B14" s="6">
        <v>45887</v>
      </c>
      <c r="C14" s="6"/>
      <c r="D14" s="7">
        <v>10.5</v>
      </c>
      <c r="E14" s="7">
        <v>4.1100000000000003</v>
      </c>
      <c r="F14" s="7">
        <f>Tabla22[[#This Row],[ Costo ]]+E14</f>
        <v>14.61</v>
      </c>
      <c r="G14" s="5" t="s">
        <v>45</v>
      </c>
      <c r="H14" s="5" t="s">
        <v>72</v>
      </c>
      <c r="I14" s="5"/>
      <c r="J14" s="6">
        <v>45930</v>
      </c>
      <c r="K14" s="8">
        <v>34</v>
      </c>
      <c r="L14" s="15">
        <f t="shared" si="0"/>
        <v>19.39</v>
      </c>
      <c r="N14" t="s">
        <v>66</v>
      </c>
      <c r="O14" s="4">
        <f>O12*O7</f>
        <v>647.22195652173923</v>
      </c>
    </row>
    <row r="15" spans="1:17" x14ac:dyDescent="0.35">
      <c r="A15" s="13">
        <v>7</v>
      </c>
      <c r="B15" s="6"/>
      <c r="C15" s="6"/>
      <c r="D15" s="7">
        <v>10</v>
      </c>
      <c r="E15" s="7">
        <v>5.33</v>
      </c>
      <c r="F15" s="7">
        <f>Tabla22[[#This Row],[ Costo ]]+E15</f>
        <v>15.33</v>
      </c>
      <c r="G15" s="5" t="s">
        <v>77</v>
      </c>
      <c r="H15" s="5" t="s">
        <v>79</v>
      </c>
      <c r="I15" s="5" t="s">
        <v>78</v>
      </c>
      <c r="J15" s="6">
        <v>45930</v>
      </c>
      <c r="K15" s="8">
        <v>33</v>
      </c>
      <c r="L15" s="15">
        <f t="shared" si="0"/>
        <v>17.670000000000002</v>
      </c>
      <c r="N15" t="s">
        <v>82</v>
      </c>
      <c r="O15">
        <f>SUMIF(Tabla22[Fecha de venta],"",Tabla22[Venta])</f>
        <v>0</v>
      </c>
    </row>
    <row r="16" spans="1:17" x14ac:dyDescent="0.35">
      <c r="A16" s="13">
        <v>7</v>
      </c>
      <c r="B16" s="6"/>
      <c r="C16" s="6"/>
      <c r="D16" s="7">
        <v>10.5</v>
      </c>
      <c r="E16" s="7">
        <v>5.33</v>
      </c>
      <c r="F16" s="7">
        <f>Tabla22[[#This Row],[ Costo ]]+E16</f>
        <v>15.83</v>
      </c>
      <c r="G16" s="5" t="s">
        <v>45</v>
      </c>
      <c r="H16" s="5" t="s">
        <v>46</v>
      </c>
      <c r="I16" s="5" t="s">
        <v>78</v>
      </c>
      <c r="J16" s="6">
        <v>45930</v>
      </c>
      <c r="K16" s="8">
        <v>33</v>
      </c>
      <c r="L16" s="15">
        <f t="shared" si="0"/>
        <v>17.170000000000002</v>
      </c>
      <c r="N16" t="s">
        <v>83</v>
      </c>
      <c r="O16" s="3">
        <f>O18+SUMIFS(Tabla22[Ganancia],Tabla22[Ganancia],"&gt;0",Tabla22[Fecha de venta],"")</f>
        <v>0</v>
      </c>
    </row>
    <row r="17" spans="1:17" x14ac:dyDescent="0.35">
      <c r="A17" s="13">
        <v>7</v>
      </c>
      <c r="B17" s="6"/>
      <c r="C17" s="6"/>
      <c r="D17" s="7">
        <v>10.5</v>
      </c>
      <c r="E17" s="7">
        <v>5.33</v>
      </c>
      <c r="F17" s="7">
        <f>Tabla22[[#This Row],[ Costo ]]+E17</f>
        <v>15.83</v>
      </c>
      <c r="G17" s="5" t="s">
        <v>76</v>
      </c>
      <c r="H17" s="5"/>
      <c r="I17" s="5" t="s">
        <v>78</v>
      </c>
      <c r="J17" s="6">
        <v>45930</v>
      </c>
      <c r="K17" s="8">
        <v>33</v>
      </c>
      <c r="L17" s="15">
        <f t="shared" si="0"/>
        <v>17.170000000000002</v>
      </c>
    </row>
    <row r="18" spans="1:17" x14ac:dyDescent="0.35">
      <c r="A18" s="13">
        <v>7</v>
      </c>
      <c r="B18" s="6"/>
      <c r="C18" s="6"/>
      <c r="D18" s="7">
        <v>11.5</v>
      </c>
      <c r="E18" s="7">
        <v>5.33</v>
      </c>
      <c r="F18" s="7">
        <f>Tabla22[[#This Row],[ Costo ]]+E18</f>
        <v>16.829999999999998</v>
      </c>
      <c r="G18" s="5" t="s">
        <v>51</v>
      </c>
      <c r="H18" s="5"/>
      <c r="I18" s="5" t="s">
        <v>24</v>
      </c>
      <c r="J18" s="6">
        <v>45930</v>
      </c>
      <c r="K18" s="8">
        <v>33</v>
      </c>
      <c r="L18" s="15">
        <f t="shared" si="0"/>
        <v>16.170000000000002</v>
      </c>
    </row>
    <row r="19" spans="1:17" x14ac:dyDescent="0.35">
      <c r="A19" s="13">
        <v>7</v>
      </c>
      <c r="B19" s="6"/>
      <c r="C19" s="6"/>
      <c r="D19" s="7">
        <v>11.5</v>
      </c>
      <c r="E19" s="7">
        <v>5.33</v>
      </c>
      <c r="F19" s="7">
        <f>Tabla22[[#This Row],[ Costo ]]+E19</f>
        <v>16.829999999999998</v>
      </c>
      <c r="G19" s="5" t="s">
        <v>51</v>
      </c>
      <c r="H19" s="5"/>
      <c r="I19" s="5" t="s">
        <v>24</v>
      </c>
      <c r="J19" s="6">
        <v>45930</v>
      </c>
      <c r="K19" s="8">
        <v>33</v>
      </c>
      <c r="L19" s="15">
        <f t="shared" si="0"/>
        <v>16.170000000000002</v>
      </c>
    </row>
    <row r="20" spans="1:17" x14ac:dyDescent="0.35">
      <c r="A20" s="13">
        <v>7</v>
      </c>
      <c r="B20" s="6"/>
      <c r="C20" s="6"/>
      <c r="D20" s="7">
        <v>13</v>
      </c>
      <c r="E20" s="7">
        <v>5.33</v>
      </c>
      <c r="F20" s="7">
        <f>Tabla22[[#This Row],[ Costo ]]+E20</f>
        <v>18.329999999999998</v>
      </c>
      <c r="G20" s="5" t="s">
        <v>39</v>
      </c>
      <c r="H20" s="5"/>
      <c r="I20" s="5"/>
      <c r="J20" s="6">
        <v>45930</v>
      </c>
      <c r="K20" s="8">
        <v>33</v>
      </c>
      <c r="L20" s="15">
        <f t="shared" si="0"/>
        <v>14.670000000000002</v>
      </c>
    </row>
    <row r="21" spans="1:17" x14ac:dyDescent="0.35">
      <c r="A21" s="14">
        <v>4</v>
      </c>
      <c r="B21" s="10">
        <v>45873</v>
      </c>
      <c r="C21" s="10">
        <v>45893</v>
      </c>
      <c r="D21" s="11">
        <v>10.5</v>
      </c>
      <c r="E21" s="7">
        <v>5</v>
      </c>
      <c r="F21" s="7">
        <f>Tabla22[[#This Row],[ Costo ]]+E21</f>
        <v>15.5</v>
      </c>
      <c r="G21" s="5" t="s">
        <v>28</v>
      </c>
      <c r="H21" s="5" t="s">
        <v>29</v>
      </c>
      <c r="I21" s="5" t="s">
        <v>14</v>
      </c>
      <c r="J21" s="6">
        <v>45895</v>
      </c>
      <c r="K21" s="8">
        <v>32.29</v>
      </c>
      <c r="L21" s="15">
        <f t="shared" si="0"/>
        <v>16.79</v>
      </c>
    </row>
    <row r="22" spans="1:17" x14ac:dyDescent="0.35">
      <c r="A22" s="13">
        <v>4</v>
      </c>
      <c r="B22" s="6">
        <v>45873</v>
      </c>
      <c r="C22" s="6">
        <v>45893</v>
      </c>
      <c r="D22" s="7">
        <v>10.5</v>
      </c>
      <c r="E22" s="7">
        <v>5.33</v>
      </c>
      <c r="F22" s="7">
        <f>Tabla22[[#This Row],[ Costo ]]+E22</f>
        <v>15.83</v>
      </c>
      <c r="G22" s="5" t="s">
        <v>12</v>
      </c>
      <c r="H22" s="5" t="s">
        <v>26</v>
      </c>
      <c r="I22" s="5" t="s">
        <v>14</v>
      </c>
      <c r="J22" s="6">
        <v>45895</v>
      </c>
      <c r="K22" s="8">
        <v>32.29</v>
      </c>
      <c r="L22" s="15">
        <f t="shared" si="0"/>
        <v>16.46</v>
      </c>
    </row>
    <row r="23" spans="1:17" x14ac:dyDescent="0.35">
      <c r="A23" s="13">
        <v>3</v>
      </c>
      <c r="B23" s="6">
        <v>45849</v>
      </c>
      <c r="C23" s="6">
        <v>45881</v>
      </c>
      <c r="D23" s="7">
        <v>10.5</v>
      </c>
      <c r="E23" s="7">
        <v>5.92</v>
      </c>
      <c r="F23" s="7">
        <f>Tabla22[[#This Row],[ Costo ]]+E23</f>
        <v>16.420000000000002</v>
      </c>
      <c r="G23" s="5" t="s">
        <v>22</v>
      </c>
      <c r="H23" s="5" t="s">
        <v>23</v>
      </c>
      <c r="I23" s="5" t="s">
        <v>24</v>
      </c>
      <c r="J23" s="6">
        <v>45874</v>
      </c>
      <c r="K23" s="8">
        <v>32.25</v>
      </c>
      <c r="L23" s="15">
        <f t="shared" si="0"/>
        <v>15.829999999999998</v>
      </c>
    </row>
    <row r="24" spans="1:17" x14ac:dyDescent="0.35">
      <c r="A24" s="13">
        <v>2</v>
      </c>
      <c r="B24" s="6">
        <v>45840</v>
      </c>
      <c r="C24" s="6">
        <v>45860</v>
      </c>
      <c r="D24" s="7">
        <v>10.5</v>
      </c>
      <c r="E24" s="7">
        <v>6</v>
      </c>
      <c r="F24" s="7">
        <f>Tabla22[[#This Row],[ Costo ]]+E24</f>
        <v>16.5</v>
      </c>
      <c r="G24" s="5" t="s">
        <v>12</v>
      </c>
      <c r="H24" s="5" t="s">
        <v>13</v>
      </c>
      <c r="I24" s="5" t="s">
        <v>14</v>
      </c>
      <c r="J24" s="6">
        <v>45875</v>
      </c>
      <c r="K24" s="8">
        <v>32.25</v>
      </c>
      <c r="L24" s="15">
        <f t="shared" si="0"/>
        <v>15.75</v>
      </c>
      <c r="Q24">
        <f>16.42*3</f>
        <v>49.260000000000005</v>
      </c>
    </row>
    <row r="25" spans="1:17" x14ac:dyDescent="0.35">
      <c r="A25" s="13">
        <v>2</v>
      </c>
      <c r="B25" s="6">
        <v>45840</v>
      </c>
      <c r="C25" s="6">
        <v>45860</v>
      </c>
      <c r="D25" s="7">
        <v>10.5</v>
      </c>
      <c r="E25" s="7">
        <v>6</v>
      </c>
      <c r="F25" s="7">
        <f>Tabla22[[#This Row],[ Costo ]]+E25</f>
        <v>16.5</v>
      </c>
      <c r="G25" s="5" t="s">
        <v>12</v>
      </c>
      <c r="H25" s="5" t="s">
        <v>13</v>
      </c>
      <c r="I25" s="5" t="s">
        <v>14</v>
      </c>
      <c r="J25" s="6">
        <v>45873</v>
      </c>
      <c r="K25" s="8">
        <v>32.25</v>
      </c>
      <c r="L25" s="15">
        <f t="shared" si="0"/>
        <v>15.75</v>
      </c>
      <c r="P25">
        <f>Q25/3</f>
        <v>19.543333333333333</v>
      </c>
      <c r="Q25">
        <v>58.63</v>
      </c>
    </row>
    <row r="26" spans="1:17" x14ac:dyDescent="0.35">
      <c r="A26" s="13">
        <v>5</v>
      </c>
      <c r="B26" s="6"/>
      <c r="C26" s="6"/>
      <c r="D26" s="7"/>
      <c r="E26" s="7"/>
      <c r="F26" s="7">
        <f>Tabla22[[#This Row],[ Costo ]]+E26</f>
        <v>0</v>
      </c>
      <c r="G26" s="5" t="s">
        <v>30</v>
      </c>
      <c r="H26" s="5"/>
      <c r="I26" s="5" t="s">
        <v>14</v>
      </c>
      <c r="J26" s="6">
        <v>45930</v>
      </c>
      <c r="K26" s="8">
        <v>32.200000000000003</v>
      </c>
      <c r="L26" s="15">
        <f t="shared" si="0"/>
        <v>32.200000000000003</v>
      </c>
      <c r="Q26">
        <f>Q25-Q24</f>
        <v>9.3699999999999974</v>
      </c>
    </row>
    <row r="27" spans="1:17" x14ac:dyDescent="0.35">
      <c r="A27" s="14">
        <v>4</v>
      </c>
      <c r="B27" s="10">
        <v>45873</v>
      </c>
      <c r="C27" s="10">
        <v>45893</v>
      </c>
      <c r="D27" s="11">
        <v>10.5</v>
      </c>
      <c r="E27" s="7">
        <v>5.33</v>
      </c>
      <c r="F27" s="7">
        <f>Tabla22[[#This Row],[ Costo ]]+E27</f>
        <v>15.83</v>
      </c>
      <c r="G27" s="5" t="s">
        <v>27</v>
      </c>
      <c r="H27" s="5"/>
      <c r="I27" s="5" t="s">
        <v>17</v>
      </c>
      <c r="J27" s="6">
        <v>45930</v>
      </c>
      <c r="K27" s="8">
        <v>32.200000000000003</v>
      </c>
      <c r="L27" s="15">
        <f t="shared" si="0"/>
        <v>16.370000000000005</v>
      </c>
    </row>
    <row r="28" spans="1:17" x14ac:dyDescent="0.35">
      <c r="A28" s="13">
        <v>5</v>
      </c>
      <c r="B28" s="6">
        <v>45887</v>
      </c>
      <c r="C28" s="6"/>
      <c r="D28" s="7">
        <v>11</v>
      </c>
      <c r="E28" s="7">
        <v>5</v>
      </c>
      <c r="F28" s="7">
        <f>Tabla22[[#This Row],[ Costo ]]+E28</f>
        <v>16</v>
      </c>
      <c r="G28" s="5" t="s">
        <v>12</v>
      </c>
      <c r="H28" s="5" t="s">
        <v>13</v>
      </c>
      <c r="I28" s="5" t="s">
        <v>71</v>
      </c>
      <c r="J28" s="6">
        <v>45930</v>
      </c>
      <c r="K28" s="8">
        <v>32.200000000000003</v>
      </c>
      <c r="L28" s="15">
        <f t="shared" si="0"/>
        <v>16.200000000000003</v>
      </c>
    </row>
    <row r="29" spans="1:17" x14ac:dyDescent="0.35">
      <c r="A29" s="13">
        <v>1</v>
      </c>
      <c r="B29" s="6">
        <v>45820</v>
      </c>
      <c r="C29" s="6">
        <v>45841</v>
      </c>
      <c r="D29" s="7">
        <v>10.5</v>
      </c>
      <c r="E29" s="7">
        <v>6</v>
      </c>
      <c r="F29" s="7">
        <f>Tabla22[[#This Row],[ Costo ]]+E29</f>
        <v>16.5</v>
      </c>
      <c r="G29" s="5" t="s">
        <v>15</v>
      </c>
      <c r="H29" s="5"/>
      <c r="I29" s="5" t="s">
        <v>24</v>
      </c>
      <c r="J29" s="6">
        <v>45843</v>
      </c>
      <c r="K29" s="8">
        <v>32.200000000000003</v>
      </c>
      <c r="L29" s="15">
        <f t="shared" si="0"/>
        <v>15.700000000000003</v>
      </c>
    </row>
    <row r="30" spans="1:17" x14ac:dyDescent="0.35">
      <c r="A30" s="13">
        <v>7</v>
      </c>
      <c r="B30" s="6"/>
      <c r="C30" s="6"/>
      <c r="D30" s="7">
        <v>10</v>
      </c>
      <c r="E30" s="7">
        <v>5.33</v>
      </c>
      <c r="F30" s="7">
        <f>Tabla22[[#This Row],[ Costo ]]+E30</f>
        <v>15.33</v>
      </c>
      <c r="G30" s="5" t="s">
        <v>27</v>
      </c>
      <c r="H30" s="5"/>
      <c r="I30" s="5" t="s">
        <v>14</v>
      </c>
      <c r="J30" s="6">
        <v>45930</v>
      </c>
      <c r="K30" s="8">
        <v>32.200000000000003</v>
      </c>
      <c r="L30" s="15">
        <f t="shared" si="0"/>
        <v>16.870000000000005</v>
      </c>
    </row>
    <row r="31" spans="1:17" x14ac:dyDescent="0.35">
      <c r="A31" s="14">
        <v>2</v>
      </c>
      <c r="B31" s="10">
        <v>45840</v>
      </c>
      <c r="C31" s="10">
        <v>45860</v>
      </c>
      <c r="D31" s="11">
        <v>11</v>
      </c>
      <c r="E31" s="7">
        <v>6</v>
      </c>
      <c r="F31" s="7">
        <f>Tabla22[[#This Row],[ Costo ]]+E31</f>
        <v>17</v>
      </c>
      <c r="G31" s="5" t="s">
        <v>12</v>
      </c>
      <c r="H31" s="5" t="s">
        <v>13</v>
      </c>
      <c r="I31" s="5" t="s">
        <v>57</v>
      </c>
      <c r="J31" s="6">
        <v>45903</v>
      </c>
      <c r="K31" s="8">
        <v>32.200000000000003</v>
      </c>
      <c r="L31" s="15">
        <f t="shared" si="0"/>
        <v>15.200000000000003</v>
      </c>
    </row>
    <row r="32" spans="1:17" x14ac:dyDescent="0.35">
      <c r="A32" s="14">
        <v>5</v>
      </c>
      <c r="B32" s="10">
        <v>45887</v>
      </c>
      <c r="C32" s="10"/>
      <c r="D32" s="11">
        <v>15</v>
      </c>
      <c r="E32" s="7">
        <v>4.1100000000000003</v>
      </c>
      <c r="F32" s="7">
        <f>Tabla22[[#This Row],[ Costo ]]+E32</f>
        <v>19.11</v>
      </c>
      <c r="G32" s="5" t="s">
        <v>70</v>
      </c>
      <c r="H32" s="5"/>
      <c r="I32" s="5" t="s">
        <v>74</v>
      </c>
      <c r="J32" s="6">
        <v>45930</v>
      </c>
      <c r="K32" s="8">
        <v>31.97</v>
      </c>
      <c r="L32" s="15">
        <f t="shared" si="0"/>
        <v>12.86</v>
      </c>
    </row>
    <row r="33" spans="1:16" x14ac:dyDescent="0.35">
      <c r="A33" s="14">
        <v>3</v>
      </c>
      <c r="B33" s="10">
        <v>45849</v>
      </c>
      <c r="C33" s="6">
        <v>45872</v>
      </c>
      <c r="D33" s="11">
        <v>10.5</v>
      </c>
      <c r="E33" s="5" t="s">
        <v>19</v>
      </c>
      <c r="F33" s="7"/>
      <c r="G33" s="5" t="s">
        <v>20</v>
      </c>
      <c r="H33" s="5" t="s">
        <v>21</v>
      </c>
      <c r="I33" s="5" t="s">
        <v>14</v>
      </c>
      <c r="J33" s="6">
        <v>45877</v>
      </c>
      <c r="K33" s="8">
        <v>29.62</v>
      </c>
      <c r="L33" s="15">
        <f t="shared" si="0"/>
        <v>29.62</v>
      </c>
    </row>
    <row r="34" spans="1:16" x14ac:dyDescent="0.35">
      <c r="A34" s="13">
        <v>1</v>
      </c>
      <c r="B34" s="6">
        <v>45820</v>
      </c>
      <c r="C34" s="6">
        <v>45841</v>
      </c>
      <c r="D34" s="7">
        <v>10.5</v>
      </c>
      <c r="E34" s="7">
        <v>6</v>
      </c>
      <c r="F34" s="7">
        <f>Tabla22[[#This Row],[ Costo ]]+E34</f>
        <v>16.5</v>
      </c>
      <c r="G34" s="5" t="s">
        <v>12</v>
      </c>
      <c r="H34" s="5"/>
      <c r="I34" s="5" t="s">
        <v>24</v>
      </c>
      <c r="J34" s="6">
        <v>45846</v>
      </c>
      <c r="K34" s="8">
        <v>29.55</v>
      </c>
      <c r="L34" s="15">
        <f t="shared" ref="L34:L65" si="1">K34-F34</f>
        <v>13.05</v>
      </c>
    </row>
    <row r="35" spans="1:16" x14ac:dyDescent="0.35">
      <c r="A35" s="13">
        <v>1</v>
      </c>
      <c r="B35" s="6">
        <v>45820</v>
      </c>
      <c r="C35" s="6">
        <v>45841</v>
      </c>
      <c r="D35" s="7">
        <v>10</v>
      </c>
      <c r="E35" s="7">
        <v>5</v>
      </c>
      <c r="F35" s="7">
        <f>Tabla22[[#This Row],[ Costo ]]+E35</f>
        <v>15</v>
      </c>
      <c r="G35" s="5" t="s">
        <v>12</v>
      </c>
      <c r="H35" s="5"/>
      <c r="I35" s="5" t="s">
        <v>17</v>
      </c>
      <c r="J35" s="6">
        <v>45853</v>
      </c>
      <c r="K35" s="8">
        <v>26.87</v>
      </c>
      <c r="L35" s="15">
        <f t="shared" si="1"/>
        <v>11.870000000000001</v>
      </c>
    </row>
    <row r="36" spans="1:16" x14ac:dyDescent="0.35">
      <c r="A36" s="13">
        <v>1</v>
      </c>
      <c r="B36" s="6">
        <v>45820</v>
      </c>
      <c r="C36" s="6">
        <v>45841</v>
      </c>
      <c r="D36" s="7">
        <v>10.5</v>
      </c>
      <c r="E36" s="7">
        <v>6</v>
      </c>
      <c r="F36" s="7">
        <f>Tabla22[[#This Row],[ Costo ]]+E36</f>
        <v>16.5</v>
      </c>
      <c r="G36" s="5" t="s">
        <v>15</v>
      </c>
      <c r="H36" s="5"/>
      <c r="I36" s="5" t="s">
        <v>17</v>
      </c>
      <c r="J36" s="6">
        <v>45848</v>
      </c>
      <c r="K36" s="8">
        <v>26.87</v>
      </c>
      <c r="L36" s="15">
        <f t="shared" si="1"/>
        <v>10.370000000000001</v>
      </c>
    </row>
    <row r="37" spans="1:16" x14ac:dyDescent="0.35">
      <c r="A37" s="13">
        <v>3</v>
      </c>
      <c r="B37" s="6">
        <v>45849</v>
      </c>
      <c r="C37" s="6">
        <v>45872</v>
      </c>
      <c r="D37" s="7">
        <v>9</v>
      </c>
      <c r="E37" s="7">
        <v>5.92</v>
      </c>
      <c r="F37" s="7">
        <f>Tabla22[[#This Row],[ Costo ]]+E37</f>
        <v>14.92</v>
      </c>
      <c r="G37" s="5" t="s">
        <v>43</v>
      </c>
      <c r="H37" s="5" t="s">
        <v>44</v>
      </c>
      <c r="I37" s="5">
        <v>24</v>
      </c>
      <c r="J37" s="6">
        <v>45893</v>
      </c>
      <c r="K37" s="8">
        <v>26.78</v>
      </c>
      <c r="L37" s="15">
        <f t="shared" si="1"/>
        <v>11.860000000000001</v>
      </c>
    </row>
    <row r="38" spans="1:16" x14ac:dyDescent="0.35">
      <c r="A38" s="13">
        <v>7</v>
      </c>
      <c r="B38" s="6"/>
      <c r="C38" s="6"/>
      <c r="D38" s="7">
        <v>8.5</v>
      </c>
      <c r="E38" s="7">
        <v>5.33</v>
      </c>
      <c r="F38" s="7">
        <f>Tabla22[[#This Row],[ Costo ]]+E38</f>
        <v>13.83</v>
      </c>
      <c r="G38" s="5" t="s">
        <v>34</v>
      </c>
      <c r="H38" s="5"/>
      <c r="I38" s="5"/>
      <c r="J38" s="6">
        <v>45930</v>
      </c>
      <c r="K38" s="8">
        <v>26.75</v>
      </c>
      <c r="L38" s="15">
        <f t="shared" si="1"/>
        <v>12.92</v>
      </c>
    </row>
    <row r="39" spans="1:16" x14ac:dyDescent="0.35">
      <c r="A39" s="13">
        <v>3</v>
      </c>
      <c r="B39" s="6">
        <v>45849</v>
      </c>
      <c r="C39" s="6">
        <v>45881</v>
      </c>
      <c r="D39" s="7">
        <v>9</v>
      </c>
      <c r="E39" s="7">
        <v>5.92</v>
      </c>
      <c r="F39" s="7">
        <f>Tabla22[[#This Row],[ Costo ]]+E39</f>
        <v>14.92</v>
      </c>
      <c r="G39" s="5" t="s">
        <v>34</v>
      </c>
      <c r="H39" s="5"/>
      <c r="I39" s="5" t="s">
        <v>14</v>
      </c>
      <c r="J39" s="6">
        <v>45930</v>
      </c>
      <c r="K39" s="8">
        <v>26.75</v>
      </c>
      <c r="L39" s="15">
        <f t="shared" si="1"/>
        <v>11.83</v>
      </c>
      <c r="P39" t="s">
        <v>81</v>
      </c>
    </row>
    <row r="40" spans="1:16" x14ac:dyDescent="0.35">
      <c r="A40" s="13">
        <v>7</v>
      </c>
      <c r="B40" s="6"/>
      <c r="C40" s="6"/>
      <c r="D40" s="7">
        <v>10</v>
      </c>
      <c r="E40" s="7">
        <v>5.33</v>
      </c>
      <c r="F40" s="7">
        <f>Tabla22[[#This Row],[ Costo ]]+E40</f>
        <v>15.33</v>
      </c>
      <c r="G40" s="5" t="s">
        <v>34</v>
      </c>
      <c r="H40" s="5"/>
      <c r="I40" s="5"/>
      <c r="J40" s="6">
        <v>45930</v>
      </c>
      <c r="K40" s="8">
        <v>26.75</v>
      </c>
      <c r="L40" s="15">
        <f t="shared" si="1"/>
        <v>11.42</v>
      </c>
    </row>
    <row r="41" spans="1:16" x14ac:dyDescent="0.35">
      <c r="A41" s="13">
        <v>7</v>
      </c>
      <c r="B41" s="6"/>
      <c r="C41" s="6"/>
      <c r="D41" s="7">
        <v>10</v>
      </c>
      <c r="E41" s="7">
        <v>5.33</v>
      </c>
      <c r="F41" s="7">
        <f>Tabla22[[#This Row],[ Costo ]]+E41</f>
        <v>15.33</v>
      </c>
      <c r="G41" s="5" t="s">
        <v>34</v>
      </c>
      <c r="H41" s="5"/>
      <c r="I41" s="5"/>
      <c r="J41" s="6">
        <v>45930</v>
      </c>
      <c r="K41" s="8">
        <v>26.75</v>
      </c>
      <c r="L41" s="15">
        <f t="shared" si="1"/>
        <v>11.42</v>
      </c>
    </row>
    <row r="42" spans="1:16" x14ac:dyDescent="0.35">
      <c r="A42" s="13">
        <v>3</v>
      </c>
      <c r="B42" s="6">
        <v>45849</v>
      </c>
      <c r="C42" s="6">
        <v>45881</v>
      </c>
      <c r="D42" s="7">
        <v>9</v>
      </c>
      <c r="E42" s="7">
        <v>5.92</v>
      </c>
      <c r="F42" s="7">
        <f>Tabla22[[#This Row],[ Costo ]]+E42</f>
        <v>14.92</v>
      </c>
      <c r="G42" s="5" t="s">
        <v>34</v>
      </c>
      <c r="H42" s="5"/>
      <c r="I42" s="5" t="s">
        <v>24</v>
      </c>
      <c r="J42" s="6">
        <v>45930</v>
      </c>
      <c r="K42" s="8">
        <v>26.67</v>
      </c>
      <c r="L42" s="15">
        <f t="shared" si="1"/>
        <v>11.750000000000002</v>
      </c>
    </row>
    <row r="43" spans="1:16" x14ac:dyDescent="0.35">
      <c r="A43" s="13">
        <v>3</v>
      </c>
      <c r="B43" s="6">
        <v>45849</v>
      </c>
      <c r="C43" s="6">
        <v>45881</v>
      </c>
      <c r="D43" s="7">
        <v>8</v>
      </c>
      <c r="E43" s="7">
        <v>5.92</v>
      </c>
      <c r="F43" s="7">
        <f>Tabla22[[#This Row],[ Costo ]]+E43</f>
        <v>13.92</v>
      </c>
      <c r="G43" s="5" t="s">
        <v>31</v>
      </c>
      <c r="H43" s="5"/>
      <c r="I43" s="5" t="s">
        <v>24</v>
      </c>
      <c r="J43" s="6">
        <v>45886</v>
      </c>
      <c r="K43" s="8">
        <v>24.14</v>
      </c>
      <c r="L43" s="15">
        <f t="shared" si="1"/>
        <v>10.220000000000001</v>
      </c>
    </row>
    <row r="44" spans="1:16" x14ac:dyDescent="0.35">
      <c r="A44" s="13">
        <v>3</v>
      </c>
      <c r="B44" s="6">
        <v>45849</v>
      </c>
      <c r="C44" s="6">
        <v>45881</v>
      </c>
      <c r="D44" s="7">
        <v>10</v>
      </c>
      <c r="E44" s="7">
        <v>5.92</v>
      </c>
      <c r="F44" s="7">
        <f>Tabla22[[#This Row],[ Costo ]]+E44</f>
        <v>15.92</v>
      </c>
      <c r="G44" s="5" t="s">
        <v>15</v>
      </c>
      <c r="H44" s="5" t="s">
        <v>40</v>
      </c>
      <c r="I44" s="5" t="s">
        <v>24</v>
      </c>
      <c r="J44" s="24">
        <v>45890</v>
      </c>
      <c r="K44" s="8">
        <v>19.54</v>
      </c>
      <c r="L44" s="15">
        <f t="shared" si="1"/>
        <v>3.6199999999999992</v>
      </c>
    </row>
    <row r="45" spans="1:16" x14ac:dyDescent="0.35">
      <c r="A45" s="13">
        <v>3</v>
      </c>
      <c r="B45" s="6">
        <v>45849</v>
      </c>
      <c r="C45" s="6">
        <v>45881</v>
      </c>
      <c r="D45" s="7">
        <v>12</v>
      </c>
      <c r="E45" s="7">
        <v>5.92</v>
      </c>
      <c r="F45" s="7">
        <f>Tabla22[[#This Row],[ Costo ]]+E45</f>
        <v>17.920000000000002</v>
      </c>
      <c r="G45" s="5" t="s">
        <v>51</v>
      </c>
      <c r="H45" s="5" t="s">
        <v>40</v>
      </c>
      <c r="I45" s="5" t="s">
        <v>14</v>
      </c>
      <c r="J45" s="24">
        <v>45890</v>
      </c>
      <c r="K45" s="8">
        <v>19.54</v>
      </c>
      <c r="L45" s="15">
        <f t="shared" si="1"/>
        <v>1.6199999999999974</v>
      </c>
    </row>
    <row r="46" spans="1:16" x14ac:dyDescent="0.35">
      <c r="A46" s="13">
        <v>3</v>
      </c>
      <c r="B46" s="6">
        <v>45849</v>
      </c>
      <c r="C46" s="6">
        <v>45881</v>
      </c>
      <c r="D46" s="7">
        <v>12</v>
      </c>
      <c r="E46" s="7">
        <v>5.92</v>
      </c>
      <c r="F46" s="7">
        <f>Tabla22[[#This Row],[ Costo ]]+E46</f>
        <v>17.920000000000002</v>
      </c>
      <c r="G46" s="5" t="s">
        <v>15</v>
      </c>
      <c r="H46" s="5" t="s">
        <v>40</v>
      </c>
      <c r="I46" s="5" t="s">
        <v>24</v>
      </c>
      <c r="J46" s="24">
        <v>45890</v>
      </c>
      <c r="K46" s="8">
        <v>19.54</v>
      </c>
      <c r="L46" s="15">
        <f t="shared" si="1"/>
        <v>1.6199999999999974</v>
      </c>
    </row>
    <row r="47" spans="1:16" x14ac:dyDescent="0.35">
      <c r="A47" s="13">
        <v>4</v>
      </c>
      <c r="B47" s="6"/>
      <c r="C47" s="6"/>
      <c r="D47" s="7"/>
      <c r="E47" s="7"/>
      <c r="F47" s="7">
        <f>Tabla22[[#This Row],[ Costo ]]+E47</f>
        <v>0</v>
      </c>
      <c r="G47" s="5" t="s">
        <v>68</v>
      </c>
      <c r="H47" s="5" t="s">
        <v>44</v>
      </c>
      <c r="I47" s="5" t="s">
        <v>25</v>
      </c>
      <c r="J47" s="6">
        <v>45930</v>
      </c>
      <c r="K47" s="8">
        <v>16.07</v>
      </c>
      <c r="L47" s="15">
        <f t="shared" si="1"/>
        <v>16.07</v>
      </c>
    </row>
    <row r="48" spans="1:16" x14ac:dyDescent="0.35">
      <c r="A48" s="13">
        <v>5</v>
      </c>
      <c r="B48" s="6">
        <v>45887</v>
      </c>
      <c r="C48" s="6"/>
      <c r="D48" s="7">
        <v>10.5</v>
      </c>
      <c r="E48" s="7">
        <v>4.1100000000000003</v>
      </c>
      <c r="F48" s="7">
        <f>Tabla22[[#This Row],[ Costo ]]+E48</f>
        <v>14.61</v>
      </c>
      <c r="G48" s="5" t="s">
        <v>32</v>
      </c>
      <c r="H48" s="5"/>
      <c r="I48" s="5" t="s">
        <v>80</v>
      </c>
      <c r="J48" s="6"/>
      <c r="K48" s="8"/>
      <c r="L48" s="15">
        <f t="shared" si="1"/>
        <v>-14.61</v>
      </c>
    </row>
    <row r="49" spans="1:14" x14ac:dyDescent="0.35">
      <c r="A49" s="13">
        <v>3</v>
      </c>
      <c r="B49" s="6">
        <v>45849</v>
      </c>
      <c r="C49" s="6">
        <v>45881</v>
      </c>
      <c r="D49" s="7">
        <v>8</v>
      </c>
      <c r="E49" s="7">
        <v>5.92</v>
      </c>
      <c r="F49" s="7">
        <f>Tabla22[[#This Row],[ Costo ]]+E49</f>
        <v>13.92</v>
      </c>
      <c r="G49" s="5" t="s">
        <v>30</v>
      </c>
      <c r="H49" s="5"/>
      <c r="I49" s="5" t="s">
        <v>25</v>
      </c>
      <c r="J49" s="5"/>
      <c r="K49" s="8"/>
      <c r="L49" s="15">
        <f t="shared" si="1"/>
        <v>-13.92</v>
      </c>
    </row>
    <row r="50" spans="1:14" x14ac:dyDescent="0.35">
      <c r="A50" s="13">
        <v>3</v>
      </c>
      <c r="B50" s="6">
        <v>45849</v>
      </c>
      <c r="C50" s="6">
        <v>45872</v>
      </c>
      <c r="D50" s="7">
        <v>8</v>
      </c>
      <c r="E50" s="7">
        <v>5.92</v>
      </c>
      <c r="F50" s="7">
        <f>Tabla22[[#This Row],[ Costo ]]+E50</f>
        <v>13.92</v>
      </c>
      <c r="G50" s="5" t="s">
        <v>37</v>
      </c>
      <c r="H50" s="5" t="s">
        <v>38</v>
      </c>
      <c r="I50" s="5" t="s">
        <v>14</v>
      </c>
      <c r="J50" s="5"/>
      <c r="K50" s="8"/>
      <c r="L50" s="15">
        <f t="shared" si="1"/>
        <v>-13.92</v>
      </c>
    </row>
    <row r="51" spans="1:14" x14ac:dyDescent="0.35">
      <c r="A51" s="13">
        <v>3</v>
      </c>
      <c r="B51" s="6">
        <v>45849</v>
      </c>
      <c r="C51" s="6">
        <v>45872</v>
      </c>
      <c r="D51" s="7">
        <v>8</v>
      </c>
      <c r="E51" s="7">
        <v>5.92</v>
      </c>
      <c r="F51" s="7">
        <f>Tabla22[[#This Row],[ Costo ]]+E51</f>
        <v>13.92</v>
      </c>
      <c r="G51" s="5" t="s">
        <v>22</v>
      </c>
      <c r="H51" s="5" t="s">
        <v>23</v>
      </c>
      <c r="I51" s="5" t="s">
        <v>14</v>
      </c>
      <c r="J51" s="5"/>
      <c r="K51" s="8"/>
      <c r="L51" s="15">
        <f t="shared" si="1"/>
        <v>-13.92</v>
      </c>
    </row>
    <row r="52" spans="1:14" x14ac:dyDescent="0.35">
      <c r="A52" s="13">
        <v>3</v>
      </c>
      <c r="B52" s="6">
        <v>45849</v>
      </c>
      <c r="C52" s="6">
        <v>45872</v>
      </c>
      <c r="D52" s="7">
        <v>8</v>
      </c>
      <c r="E52" s="7">
        <v>5.92</v>
      </c>
      <c r="F52" s="7">
        <f>Tabla22[[#This Row],[ Costo ]]+E52</f>
        <v>13.92</v>
      </c>
      <c r="G52" s="5" t="s">
        <v>22</v>
      </c>
      <c r="H52" s="5" t="s">
        <v>23</v>
      </c>
      <c r="I52" s="5" t="s">
        <v>17</v>
      </c>
      <c r="J52" s="5"/>
      <c r="K52" s="8"/>
      <c r="L52" s="15">
        <f t="shared" si="1"/>
        <v>-13.92</v>
      </c>
    </row>
    <row r="53" spans="1:14" x14ac:dyDescent="0.35">
      <c r="A53" s="13">
        <v>3</v>
      </c>
      <c r="B53" s="6">
        <v>45849</v>
      </c>
      <c r="C53" s="6">
        <v>45872</v>
      </c>
      <c r="D53" s="7">
        <v>8</v>
      </c>
      <c r="E53" s="7">
        <v>5.92</v>
      </c>
      <c r="F53" s="7">
        <f>Tabla22[[#This Row],[ Costo ]]+E53</f>
        <v>13.92</v>
      </c>
      <c r="G53" s="5" t="s">
        <v>35</v>
      </c>
      <c r="H53" s="5" t="s">
        <v>36</v>
      </c>
      <c r="I53" s="5" t="s">
        <v>24</v>
      </c>
      <c r="J53" s="5"/>
      <c r="K53" s="8"/>
      <c r="L53" s="15">
        <f t="shared" si="1"/>
        <v>-13.92</v>
      </c>
    </row>
    <row r="54" spans="1:14" x14ac:dyDescent="0.35">
      <c r="A54" s="13">
        <v>5</v>
      </c>
      <c r="B54" s="6">
        <v>45887</v>
      </c>
      <c r="C54" s="6"/>
      <c r="D54" s="7">
        <v>10.5</v>
      </c>
      <c r="E54" s="7">
        <v>4.1100000000000003</v>
      </c>
      <c r="F54" s="7">
        <f>Tabla22[[#This Row],[ Costo ]]+E54</f>
        <v>14.61</v>
      </c>
      <c r="G54" s="5" t="s">
        <v>69</v>
      </c>
      <c r="H54" s="5" t="s">
        <v>75</v>
      </c>
      <c r="I54" s="5" t="s">
        <v>14</v>
      </c>
      <c r="J54" s="6"/>
      <c r="K54" s="8"/>
      <c r="L54" s="15">
        <f t="shared" si="1"/>
        <v>-14.61</v>
      </c>
    </row>
    <row r="55" spans="1:14" x14ac:dyDescent="0.35">
      <c r="A55" s="13">
        <v>5</v>
      </c>
      <c r="B55" s="6">
        <v>45887</v>
      </c>
      <c r="C55" s="6"/>
      <c r="D55" s="7">
        <v>10.5</v>
      </c>
      <c r="E55" s="7">
        <v>4.1100000000000003</v>
      </c>
      <c r="F55" s="7">
        <f>Tabla22[[#This Row],[ Costo ]]+E55</f>
        <v>14.61</v>
      </c>
      <c r="G55" s="5" t="s">
        <v>67</v>
      </c>
      <c r="H55" s="5"/>
      <c r="I55" s="5" t="s">
        <v>73</v>
      </c>
      <c r="J55" s="6"/>
      <c r="K55" s="8"/>
      <c r="L55" s="15">
        <f t="shared" si="1"/>
        <v>-14.61</v>
      </c>
    </row>
    <row r="56" spans="1:14" x14ac:dyDescent="0.35">
      <c r="A56" s="14">
        <v>5</v>
      </c>
      <c r="B56" s="10">
        <v>45887</v>
      </c>
      <c r="C56" s="10"/>
      <c r="D56" s="11">
        <v>10.5</v>
      </c>
      <c r="E56" s="7">
        <v>4.1100000000000003</v>
      </c>
      <c r="F56" s="7">
        <f>Tabla22[[#This Row],[ Costo ]]+E56</f>
        <v>14.61</v>
      </c>
      <c r="G56" s="5" t="s">
        <v>67</v>
      </c>
      <c r="H56" s="5"/>
      <c r="I56" s="5" t="s">
        <v>14</v>
      </c>
      <c r="J56" s="6"/>
      <c r="K56" s="8"/>
      <c r="L56" s="15">
        <f t="shared" si="1"/>
        <v>-14.61</v>
      </c>
      <c r="N56">
        <f>25/4</f>
        <v>6.25</v>
      </c>
    </row>
    <row r="57" spans="1:14" x14ac:dyDescent="0.35">
      <c r="A57" s="13">
        <v>5</v>
      </c>
      <c r="B57" s="6">
        <v>45887</v>
      </c>
      <c r="C57" s="6"/>
      <c r="D57" s="7">
        <v>10.5</v>
      </c>
      <c r="E57" s="7">
        <v>4.1100000000000003</v>
      </c>
      <c r="F57" s="7">
        <f>Tabla22[[#This Row],[ Costo ]]+E57</f>
        <v>14.61</v>
      </c>
      <c r="G57" s="5" t="s">
        <v>68</v>
      </c>
      <c r="H57" s="5"/>
      <c r="I57" s="5" t="s">
        <v>24</v>
      </c>
      <c r="J57" s="6"/>
      <c r="K57" s="8"/>
      <c r="L57" s="15">
        <f t="shared" si="1"/>
        <v>-14.61</v>
      </c>
    </row>
    <row r="58" spans="1:14" x14ac:dyDescent="0.35">
      <c r="A58" s="14">
        <v>5</v>
      </c>
      <c r="B58" s="10">
        <v>45887</v>
      </c>
      <c r="C58" s="10"/>
      <c r="D58" s="11">
        <v>10.5</v>
      </c>
      <c r="E58" s="7">
        <v>4.1100000000000003</v>
      </c>
      <c r="F58" s="7">
        <f>Tabla22[[#This Row],[ Costo ]]+E58</f>
        <v>14.61</v>
      </c>
      <c r="G58" s="5" t="s">
        <v>67</v>
      </c>
      <c r="H58" s="5"/>
      <c r="I58" s="5" t="s">
        <v>24</v>
      </c>
      <c r="J58" s="6"/>
      <c r="K58" s="8"/>
      <c r="L58" s="15">
        <f t="shared" si="1"/>
        <v>-14.61</v>
      </c>
    </row>
    <row r="59" spans="1:14" x14ac:dyDescent="0.35">
      <c r="A59" s="14">
        <v>5</v>
      </c>
      <c r="B59" s="10">
        <v>45887</v>
      </c>
      <c r="C59" s="10"/>
      <c r="D59" s="11">
        <v>10.5</v>
      </c>
      <c r="E59" s="7">
        <v>4.1100000000000003</v>
      </c>
      <c r="F59" s="7">
        <f>Tabla22[[#This Row],[ Costo ]]+E59</f>
        <v>14.61</v>
      </c>
      <c r="G59" s="5" t="s">
        <v>32</v>
      </c>
      <c r="H59" s="5"/>
      <c r="I59" s="5" t="s">
        <v>14</v>
      </c>
      <c r="J59" s="6"/>
      <c r="K59" s="8"/>
      <c r="L59" s="15">
        <f t="shared" si="1"/>
        <v>-14.61</v>
      </c>
    </row>
    <row r="60" spans="1:14" x14ac:dyDescent="0.35">
      <c r="A60" s="13">
        <v>5</v>
      </c>
      <c r="B60" s="6">
        <v>45887</v>
      </c>
      <c r="C60" s="6"/>
      <c r="D60" s="7">
        <v>10.5</v>
      </c>
      <c r="E60" s="7">
        <v>4.1100000000000003</v>
      </c>
      <c r="F60" s="7">
        <f>Tabla22[[#This Row],[ Costo ]]+E60</f>
        <v>14.61</v>
      </c>
      <c r="G60" s="5" t="s">
        <v>68</v>
      </c>
      <c r="H60" s="5"/>
      <c r="I60" s="5" t="s">
        <v>17</v>
      </c>
      <c r="J60" s="6"/>
      <c r="K60" s="8"/>
      <c r="L60" s="15">
        <f t="shared" si="1"/>
        <v>-14.61</v>
      </c>
    </row>
    <row r="61" spans="1:14" x14ac:dyDescent="0.35">
      <c r="A61" s="13">
        <v>5</v>
      </c>
      <c r="B61" s="6">
        <v>45887</v>
      </c>
      <c r="C61" s="6"/>
      <c r="D61" s="7">
        <v>10.5</v>
      </c>
      <c r="E61" s="7">
        <v>4.1100000000000003</v>
      </c>
      <c r="F61" s="7">
        <f>Tabla22[[#This Row],[ Costo ]]+E61</f>
        <v>14.61</v>
      </c>
      <c r="G61" s="5" t="s">
        <v>67</v>
      </c>
      <c r="H61" s="5"/>
      <c r="I61" s="5" t="s">
        <v>14</v>
      </c>
      <c r="J61" s="6"/>
      <c r="K61" s="8"/>
      <c r="L61" s="15">
        <f t="shared" si="1"/>
        <v>-14.61</v>
      </c>
    </row>
    <row r="62" spans="1:14" x14ac:dyDescent="0.35">
      <c r="A62" s="13">
        <v>3</v>
      </c>
      <c r="B62" s="6">
        <v>45849</v>
      </c>
      <c r="C62" s="6">
        <v>45881</v>
      </c>
      <c r="D62" s="7">
        <v>9</v>
      </c>
      <c r="E62" s="7">
        <v>5.92</v>
      </c>
      <c r="F62" s="7">
        <f>Tabla22[[#This Row],[ Costo ]]+E62</f>
        <v>14.92</v>
      </c>
      <c r="G62" s="5" t="s">
        <v>33</v>
      </c>
      <c r="H62" s="5"/>
      <c r="I62" s="5" t="s">
        <v>14</v>
      </c>
      <c r="J62" s="5"/>
      <c r="K62" s="8"/>
      <c r="L62" s="15">
        <f t="shared" si="1"/>
        <v>-14.92</v>
      </c>
    </row>
    <row r="63" spans="1:14" x14ac:dyDescent="0.35">
      <c r="A63" s="13">
        <v>3</v>
      </c>
      <c r="B63" s="6">
        <v>45849</v>
      </c>
      <c r="C63" s="6">
        <v>45881</v>
      </c>
      <c r="D63" s="7">
        <v>9</v>
      </c>
      <c r="E63" s="7">
        <v>5.92</v>
      </c>
      <c r="F63" s="7">
        <f>Tabla22[[#This Row],[ Costo ]]+E63</f>
        <v>14.92</v>
      </c>
      <c r="G63" s="5" t="s">
        <v>32</v>
      </c>
      <c r="H63" s="5"/>
      <c r="I63" s="5" t="s">
        <v>17</v>
      </c>
      <c r="J63" s="5"/>
      <c r="K63" s="8"/>
      <c r="L63" s="15">
        <f t="shared" si="1"/>
        <v>-14.92</v>
      </c>
    </row>
    <row r="64" spans="1:14" x14ac:dyDescent="0.35">
      <c r="A64" s="13">
        <v>3</v>
      </c>
      <c r="B64" s="6">
        <v>45849</v>
      </c>
      <c r="C64" s="6">
        <v>45872</v>
      </c>
      <c r="D64" s="7">
        <v>9</v>
      </c>
      <c r="E64" s="7">
        <v>5.92</v>
      </c>
      <c r="F64" s="7">
        <f>Tabla22[[#This Row],[ Costo ]]+E64</f>
        <v>14.92</v>
      </c>
      <c r="G64" s="5" t="s">
        <v>41</v>
      </c>
      <c r="H64" s="5" t="s">
        <v>42</v>
      </c>
      <c r="I64" s="5">
        <v>24</v>
      </c>
      <c r="J64" s="5"/>
      <c r="K64" s="8"/>
      <c r="L64" s="15">
        <f t="shared" si="1"/>
        <v>-14.92</v>
      </c>
    </row>
    <row r="65" spans="1:14" x14ac:dyDescent="0.35">
      <c r="A65" s="26">
        <v>3</v>
      </c>
      <c r="B65" s="16">
        <v>45849</v>
      </c>
      <c r="C65" s="16">
        <v>45881</v>
      </c>
      <c r="D65" s="17">
        <v>9</v>
      </c>
      <c r="E65" s="17">
        <v>5.92</v>
      </c>
      <c r="F65" s="7">
        <f>Tabla22[[#This Row],[ Costo ]]+E65</f>
        <v>14.92</v>
      </c>
      <c r="G65" s="18" t="s">
        <v>49</v>
      </c>
      <c r="H65" s="18" t="s">
        <v>44</v>
      </c>
      <c r="I65" s="18" t="s">
        <v>14</v>
      </c>
      <c r="J65" s="16"/>
      <c r="K65" s="19"/>
      <c r="L65" s="15">
        <f t="shared" si="1"/>
        <v>-14.92</v>
      </c>
      <c r="N65">
        <f>67/4</f>
        <v>16.75</v>
      </c>
    </row>
    <row r="66" spans="1:14" x14ac:dyDescent="0.35">
      <c r="A66" s="29">
        <v>3</v>
      </c>
      <c r="B66" s="30">
        <v>45849</v>
      </c>
      <c r="C66" s="16">
        <v>45881</v>
      </c>
      <c r="D66" s="31">
        <v>9</v>
      </c>
      <c r="E66" s="31">
        <v>5.92</v>
      </c>
      <c r="F66" s="7">
        <f>Tabla22[[#This Row],[ Costo ]]+E66</f>
        <v>14.92</v>
      </c>
      <c r="G66" s="32" t="s">
        <v>49</v>
      </c>
      <c r="H66" s="32" t="s">
        <v>26</v>
      </c>
      <c r="I66" s="32" t="s">
        <v>14</v>
      </c>
      <c r="J66" s="32"/>
      <c r="K66" s="33"/>
      <c r="L66" s="15">
        <f t="shared" ref="L66:L87" si="2">K66-F66</f>
        <v>-14.92</v>
      </c>
      <c r="M66" s="3"/>
    </row>
    <row r="67" spans="1:14" x14ac:dyDescent="0.35">
      <c r="A67" s="29">
        <v>3</v>
      </c>
      <c r="B67" s="30">
        <v>45849</v>
      </c>
      <c r="C67" s="16">
        <v>45881</v>
      </c>
      <c r="D67" s="31">
        <v>9</v>
      </c>
      <c r="E67" s="31">
        <v>5.92</v>
      </c>
      <c r="F67" s="7">
        <f>Tabla22[[#This Row],[ Costo ]]+E67</f>
        <v>14.92</v>
      </c>
      <c r="G67" s="32" t="s">
        <v>49</v>
      </c>
      <c r="H67" s="32" t="s">
        <v>50</v>
      </c>
      <c r="I67" s="32" t="s">
        <v>24</v>
      </c>
      <c r="J67" s="32"/>
      <c r="K67" s="33"/>
      <c r="L67" s="15">
        <f t="shared" si="2"/>
        <v>-14.92</v>
      </c>
      <c r="M67" s="3"/>
    </row>
    <row r="68" spans="1:14" x14ac:dyDescent="0.35">
      <c r="A68" s="26">
        <v>5</v>
      </c>
      <c r="B68" s="16">
        <v>45887</v>
      </c>
      <c r="C68" s="16"/>
      <c r="D68" s="17">
        <v>11</v>
      </c>
      <c r="E68" s="17">
        <v>4.1100000000000003</v>
      </c>
      <c r="F68" s="7">
        <f>Tabla22[[#This Row],[ Costo ]]+E68</f>
        <v>15.11</v>
      </c>
      <c r="G68" s="18" t="s">
        <v>68</v>
      </c>
      <c r="H68" s="18" t="s">
        <v>13</v>
      </c>
      <c r="I68" s="18" t="s">
        <v>14</v>
      </c>
      <c r="J68" s="16"/>
      <c r="K68" s="19"/>
      <c r="L68" s="20">
        <f t="shared" si="2"/>
        <v>-15.11</v>
      </c>
    </row>
    <row r="69" spans="1:14" x14ac:dyDescent="0.35">
      <c r="A69" s="29">
        <v>5</v>
      </c>
      <c r="B69" s="30">
        <v>45887</v>
      </c>
      <c r="C69" s="30"/>
      <c r="D69" s="31">
        <v>11</v>
      </c>
      <c r="E69" s="17">
        <v>4.1100000000000003</v>
      </c>
      <c r="F69" s="7">
        <f>Tabla22[[#This Row],[ Costo ]]+E69</f>
        <v>15.11</v>
      </c>
      <c r="G69" s="18" t="s">
        <v>51</v>
      </c>
      <c r="H69" s="18" t="s">
        <v>16</v>
      </c>
      <c r="I69" s="18" t="s">
        <v>14</v>
      </c>
      <c r="J69" s="16"/>
      <c r="K69" s="19"/>
      <c r="L69" s="20">
        <f t="shared" si="2"/>
        <v>-15.11</v>
      </c>
    </row>
    <row r="70" spans="1:14" x14ac:dyDescent="0.35">
      <c r="A70" s="26">
        <v>5</v>
      </c>
      <c r="B70" s="16">
        <v>45887</v>
      </c>
      <c r="C70" s="16"/>
      <c r="D70" s="17">
        <v>11</v>
      </c>
      <c r="E70" s="17">
        <v>4.1100000000000003</v>
      </c>
      <c r="F70" s="7">
        <f>Tabla22[[#This Row],[ Costo ]]+E70</f>
        <v>15.11</v>
      </c>
      <c r="G70" s="18" t="s">
        <v>51</v>
      </c>
      <c r="H70" s="18" t="s">
        <v>16</v>
      </c>
      <c r="I70" s="18" t="s">
        <v>14</v>
      </c>
      <c r="J70" s="16"/>
      <c r="K70" s="19"/>
      <c r="L70" s="20">
        <f t="shared" si="2"/>
        <v>-15.11</v>
      </c>
    </row>
    <row r="71" spans="1:14" x14ac:dyDescent="0.35">
      <c r="A71" s="26">
        <v>5</v>
      </c>
      <c r="B71" s="16">
        <v>45887</v>
      </c>
      <c r="C71" s="16"/>
      <c r="D71" s="17">
        <v>11</v>
      </c>
      <c r="E71" s="17">
        <v>4.1100000000000003</v>
      </c>
      <c r="F71" s="7">
        <f>Tabla22[[#This Row],[ Costo ]]+E71</f>
        <v>15.11</v>
      </c>
      <c r="G71" s="18" t="s">
        <v>68</v>
      </c>
      <c r="H71" s="18" t="s">
        <v>13</v>
      </c>
      <c r="I71" s="18" t="s">
        <v>14</v>
      </c>
      <c r="J71" s="16"/>
      <c r="K71" s="19"/>
      <c r="L71" s="20">
        <f t="shared" si="2"/>
        <v>-15.11</v>
      </c>
    </row>
    <row r="72" spans="1:14" x14ac:dyDescent="0.35">
      <c r="A72" s="26">
        <v>4</v>
      </c>
      <c r="B72" s="16">
        <v>45873</v>
      </c>
      <c r="C72" s="16">
        <v>45893</v>
      </c>
      <c r="D72" s="17">
        <v>10.5</v>
      </c>
      <c r="E72" s="17">
        <v>5.33</v>
      </c>
      <c r="F72" s="7">
        <f>Tabla22[[#This Row],[ Costo ]]+E72</f>
        <v>15.83</v>
      </c>
      <c r="G72" s="18" t="s">
        <v>12</v>
      </c>
      <c r="H72" s="18"/>
      <c r="I72" s="18" t="s">
        <v>14</v>
      </c>
      <c r="J72" s="18"/>
      <c r="K72" s="19"/>
      <c r="L72" s="20">
        <f t="shared" si="2"/>
        <v>-15.83</v>
      </c>
    </row>
    <row r="73" spans="1:14" x14ac:dyDescent="0.35">
      <c r="A73" s="29">
        <v>3</v>
      </c>
      <c r="B73" s="30">
        <v>45849</v>
      </c>
      <c r="C73" s="16">
        <v>45872</v>
      </c>
      <c r="D73" s="31">
        <v>10.65</v>
      </c>
      <c r="E73" s="17">
        <v>5.92</v>
      </c>
      <c r="F73" s="7">
        <f>Tabla22[[#This Row],[ Costo ]]+E73</f>
        <v>16.57</v>
      </c>
      <c r="G73" s="18" t="s">
        <v>41</v>
      </c>
      <c r="H73" s="18" t="s">
        <v>42</v>
      </c>
      <c r="I73" s="18">
        <v>22</v>
      </c>
      <c r="J73" s="18"/>
      <c r="K73" s="19"/>
      <c r="L73" s="20">
        <f t="shared" si="2"/>
        <v>-16.57</v>
      </c>
    </row>
    <row r="74" spans="1:14" x14ac:dyDescent="0.35">
      <c r="A74" s="26">
        <v>6</v>
      </c>
      <c r="B74" s="16">
        <v>45892</v>
      </c>
      <c r="C74" s="16"/>
      <c r="D74" s="17">
        <v>10.5</v>
      </c>
      <c r="E74" s="17">
        <v>6.25</v>
      </c>
      <c r="F74" s="7">
        <f>Tabla22[[#This Row],[ Costo ]]+E74</f>
        <v>16.75</v>
      </c>
      <c r="G74" s="18" t="s">
        <v>15</v>
      </c>
      <c r="H74" s="18" t="s">
        <v>16</v>
      </c>
      <c r="I74" s="18" t="s">
        <v>14</v>
      </c>
      <c r="J74" s="18"/>
      <c r="K74" s="19"/>
      <c r="L74" s="20">
        <f t="shared" si="2"/>
        <v>-16.75</v>
      </c>
    </row>
    <row r="75" spans="1:14" x14ac:dyDescent="0.35">
      <c r="A75" s="26">
        <v>6</v>
      </c>
      <c r="B75" s="16">
        <v>45892</v>
      </c>
      <c r="C75" s="16"/>
      <c r="D75" s="17">
        <v>10.5</v>
      </c>
      <c r="E75" s="17">
        <v>6.25</v>
      </c>
      <c r="F75" s="7">
        <f>Tabla22[[#This Row],[ Costo ]]+E75</f>
        <v>16.75</v>
      </c>
      <c r="G75" s="18" t="s">
        <v>15</v>
      </c>
      <c r="H75" s="18" t="s">
        <v>16</v>
      </c>
      <c r="I75" s="18" t="s">
        <v>14</v>
      </c>
      <c r="J75" s="18"/>
      <c r="K75" s="19"/>
      <c r="L75" s="20">
        <f t="shared" si="2"/>
        <v>-16.75</v>
      </c>
    </row>
    <row r="76" spans="1:14" x14ac:dyDescent="0.35">
      <c r="A76" s="26">
        <v>6</v>
      </c>
      <c r="B76" s="16">
        <v>45892</v>
      </c>
      <c r="C76" s="16"/>
      <c r="D76" s="17">
        <v>10.5</v>
      </c>
      <c r="E76" s="17">
        <v>6.25</v>
      </c>
      <c r="F76" s="7">
        <f>Tabla22[[#This Row],[ Costo ]]+E76</f>
        <v>16.75</v>
      </c>
      <c r="G76" s="18" t="s">
        <v>15</v>
      </c>
      <c r="H76" s="18" t="s">
        <v>16</v>
      </c>
      <c r="I76" s="18" t="s">
        <v>24</v>
      </c>
      <c r="J76" s="18"/>
      <c r="K76" s="19"/>
      <c r="L76" s="20">
        <f t="shared" si="2"/>
        <v>-16.75</v>
      </c>
    </row>
    <row r="77" spans="1:14" x14ac:dyDescent="0.35">
      <c r="A77" s="26">
        <v>6</v>
      </c>
      <c r="B77" s="16">
        <v>45892</v>
      </c>
      <c r="C77" s="16"/>
      <c r="D77" s="17">
        <v>10.5</v>
      </c>
      <c r="E77" s="17">
        <v>6.25</v>
      </c>
      <c r="F77" s="7">
        <f>Tabla22[[#This Row],[ Costo ]]+E77</f>
        <v>16.75</v>
      </c>
      <c r="G77" s="18" t="s">
        <v>15</v>
      </c>
      <c r="H77" s="18" t="s">
        <v>16</v>
      </c>
      <c r="I77" s="18" t="s">
        <v>24</v>
      </c>
      <c r="J77" s="18"/>
      <c r="K77" s="19"/>
      <c r="L77" s="20">
        <f t="shared" si="2"/>
        <v>-16.75</v>
      </c>
    </row>
    <row r="78" spans="1:14" x14ac:dyDescent="0.35">
      <c r="A78" s="26">
        <v>7</v>
      </c>
      <c r="B78" s="16"/>
      <c r="C78" s="16"/>
      <c r="D78" s="17">
        <v>11.5</v>
      </c>
      <c r="E78" s="17">
        <v>5.33</v>
      </c>
      <c r="F78" s="7">
        <f>Tabla22[[#This Row],[ Costo ]]+E78</f>
        <v>16.829999999999998</v>
      </c>
      <c r="G78" s="18" t="s">
        <v>51</v>
      </c>
      <c r="H78" s="18"/>
      <c r="I78" s="18" t="s">
        <v>17</v>
      </c>
      <c r="J78" s="18"/>
      <c r="K78" s="19"/>
      <c r="L78" s="20">
        <f t="shared" si="2"/>
        <v>-16.829999999999998</v>
      </c>
      <c r="M78">
        <v>3</v>
      </c>
      <c r="N78">
        <f>99/3</f>
        <v>33</v>
      </c>
    </row>
    <row r="79" spans="1:14" x14ac:dyDescent="0.35">
      <c r="A79" s="29">
        <v>3</v>
      </c>
      <c r="B79" s="30">
        <v>45849</v>
      </c>
      <c r="C79" s="30">
        <v>45872</v>
      </c>
      <c r="D79" s="31">
        <v>11</v>
      </c>
      <c r="E79" s="31">
        <v>5.92</v>
      </c>
      <c r="F79" s="7">
        <f>Tabla22[[#This Row],[ Costo ]]+E79</f>
        <v>16.920000000000002</v>
      </c>
      <c r="G79" s="32" t="s">
        <v>43</v>
      </c>
      <c r="H79" s="32" t="s">
        <v>44</v>
      </c>
      <c r="I79" s="32">
        <v>26</v>
      </c>
      <c r="J79" s="32"/>
      <c r="K79" s="33"/>
      <c r="L79" s="20">
        <f t="shared" si="2"/>
        <v>-16.920000000000002</v>
      </c>
    </row>
    <row r="80" spans="1:14" x14ac:dyDescent="0.35">
      <c r="A80" s="29">
        <v>3</v>
      </c>
      <c r="B80" s="30">
        <v>45849</v>
      </c>
      <c r="C80" s="16">
        <v>45872</v>
      </c>
      <c r="D80" s="31">
        <v>11</v>
      </c>
      <c r="E80" s="31">
        <v>5.92</v>
      </c>
      <c r="F80" s="7">
        <f>Tabla22[[#This Row],[ Costo ]]+E80</f>
        <v>16.920000000000002</v>
      </c>
      <c r="G80" s="32" t="s">
        <v>39</v>
      </c>
      <c r="H80" s="32" t="s">
        <v>40</v>
      </c>
      <c r="I80" s="32">
        <v>28</v>
      </c>
      <c r="J80" s="32"/>
      <c r="K80" s="33"/>
      <c r="L80" s="20">
        <f t="shared" si="2"/>
        <v>-16.920000000000002</v>
      </c>
    </row>
    <row r="81" spans="1:12" x14ac:dyDescent="0.35">
      <c r="A81" s="26">
        <v>3</v>
      </c>
      <c r="B81" s="16">
        <v>45849</v>
      </c>
      <c r="C81" s="16">
        <v>45872</v>
      </c>
      <c r="D81" s="17">
        <v>11</v>
      </c>
      <c r="E81" s="17">
        <v>5.92</v>
      </c>
      <c r="F81" s="7">
        <f>Tabla22[[#This Row],[ Costo ]]+E81</f>
        <v>16.920000000000002</v>
      </c>
      <c r="G81" s="18" t="s">
        <v>43</v>
      </c>
      <c r="H81" s="18" t="s">
        <v>44</v>
      </c>
      <c r="I81" s="18">
        <v>28</v>
      </c>
      <c r="J81" s="18"/>
      <c r="K81" s="19"/>
      <c r="L81" s="20">
        <f t="shared" si="2"/>
        <v>-16.920000000000002</v>
      </c>
    </row>
    <row r="82" spans="1:12" x14ac:dyDescent="0.35">
      <c r="A82" s="29">
        <v>3</v>
      </c>
      <c r="B82" s="30">
        <v>45849</v>
      </c>
      <c r="C82" s="16">
        <v>45881</v>
      </c>
      <c r="D82" s="31">
        <v>11</v>
      </c>
      <c r="E82" s="17">
        <v>5.92</v>
      </c>
      <c r="F82" s="17">
        <f>Tabla22[[#This Row],[ Costo ]]+E82</f>
        <v>16.920000000000002</v>
      </c>
      <c r="G82" s="18" t="s">
        <v>55</v>
      </c>
      <c r="H82" s="18" t="s">
        <v>56</v>
      </c>
      <c r="I82" s="18" t="s">
        <v>14</v>
      </c>
      <c r="J82" s="18"/>
      <c r="K82" s="19"/>
      <c r="L82" s="20">
        <f t="shared" si="2"/>
        <v>-16.920000000000002</v>
      </c>
    </row>
    <row r="83" spans="1:12" x14ac:dyDescent="0.35">
      <c r="A83" s="26">
        <v>3</v>
      </c>
      <c r="B83" s="16">
        <v>45849</v>
      </c>
      <c r="C83" s="16">
        <v>45881</v>
      </c>
      <c r="D83" s="17">
        <v>11</v>
      </c>
      <c r="E83" s="17">
        <v>5.92</v>
      </c>
      <c r="F83" s="17">
        <f>Tabla22[[#This Row],[ Costo ]]+E83</f>
        <v>16.920000000000002</v>
      </c>
      <c r="G83" s="18" t="s">
        <v>45</v>
      </c>
      <c r="H83" s="18" t="s">
        <v>46</v>
      </c>
      <c r="I83" s="18" t="s">
        <v>24</v>
      </c>
      <c r="J83" s="18"/>
      <c r="K83" s="19"/>
      <c r="L83" s="20">
        <f t="shared" si="2"/>
        <v>-16.920000000000002</v>
      </c>
    </row>
    <row r="84" spans="1:12" x14ac:dyDescent="0.35">
      <c r="A84" s="26">
        <v>1</v>
      </c>
      <c r="B84" s="16">
        <v>45820</v>
      </c>
      <c r="C84" s="16">
        <v>45841</v>
      </c>
      <c r="D84" s="17">
        <v>11</v>
      </c>
      <c r="E84" s="17">
        <v>6</v>
      </c>
      <c r="F84" s="17">
        <f>Tabla22[[#This Row],[ Costo ]]+E84</f>
        <v>17</v>
      </c>
      <c r="G84" s="18" t="s">
        <v>15</v>
      </c>
      <c r="H84" s="18" t="s">
        <v>52</v>
      </c>
      <c r="I84" s="18" t="s">
        <v>14</v>
      </c>
      <c r="J84" s="16"/>
      <c r="K84" s="19"/>
      <c r="L84" s="20">
        <f t="shared" si="2"/>
        <v>-17</v>
      </c>
    </row>
    <row r="85" spans="1:12" x14ac:dyDescent="0.35">
      <c r="A85" s="26">
        <v>2</v>
      </c>
      <c r="B85" s="16">
        <v>45840</v>
      </c>
      <c r="C85" s="16">
        <v>45860</v>
      </c>
      <c r="D85" s="17">
        <v>11</v>
      </c>
      <c r="E85" s="17">
        <v>6</v>
      </c>
      <c r="F85" s="17">
        <f>Tabla22[[#This Row],[ Costo ]]+E85</f>
        <v>17</v>
      </c>
      <c r="G85" s="18" t="s">
        <v>12</v>
      </c>
      <c r="H85" s="18" t="s">
        <v>13</v>
      </c>
      <c r="I85" s="18" t="s">
        <v>14</v>
      </c>
      <c r="J85" s="18"/>
      <c r="K85" s="19"/>
      <c r="L85" s="20">
        <f t="shared" si="2"/>
        <v>-17</v>
      </c>
    </row>
    <row r="86" spans="1:12" x14ac:dyDescent="0.35">
      <c r="A86" s="29">
        <v>3</v>
      </c>
      <c r="B86" s="30">
        <v>45849</v>
      </c>
      <c r="C86" s="16">
        <v>45881</v>
      </c>
      <c r="D86" s="31">
        <v>12</v>
      </c>
      <c r="E86" s="17">
        <v>5.92</v>
      </c>
      <c r="F86" s="17">
        <f>Tabla22[[#This Row],[ Costo ]]+E86</f>
        <v>17.920000000000002</v>
      </c>
      <c r="G86" s="18" t="s">
        <v>15</v>
      </c>
      <c r="H86" s="18" t="s">
        <v>52</v>
      </c>
      <c r="I86" s="18" t="s">
        <v>24</v>
      </c>
      <c r="J86" s="18"/>
      <c r="K86" s="19"/>
      <c r="L86" s="20">
        <f t="shared" si="2"/>
        <v>-17.920000000000002</v>
      </c>
    </row>
    <row r="87" spans="1:12" x14ac:dyDescent="0.35">
      <c r="A87" s="26"/>
      <c r="B87" s="16"/>
      <c r="C87" s="16"/>
      <c r="D87" s="17"/>
      <c r="E87" s="17"/>
      <c r="F87" s="17"/>
      <c r="G87" s="18"/>
      <c r="H87" s="18"/>
      <c r="I87" s="18"/>
      <c r="J87" s="18"/>
      <c r="K87" s="19"/>
      <c r="L87" s="20">
        <f t="shared" si="2"/>
        <v>0</v>
      </c>
    </row>
    <row r="92" spans="1:12" x14ac:dyDescent="0.35">
      <c r="C92">
        <v>4</v>
      </c>
    </row>
    <row r="94" spans="1:12" x14ac:dyDescent="0.35">
      <c r="G94" s="28">
        <v>45896</v>
      </c>
    </row>
    <row r="95" spans="1:12" x14ac:dyDescent="0.35">
      <c r="G95" s="28">
        <f>G94+21</f>
        <v>45917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Detalle1</vt:lpstr>
      <vt:lpstr>Detalle2</vt:lpstr>
      <vt:lpstr>Detalle3</vt:lpstr>
      <vt:lpstr>Detalle4</vt:lpstr>
      <vt:lpstr>Hoja3</vt:lpstr>
      <vt:lpstr>Tabla jerseys</vt:lpstr>
      <vt:lpstr>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ronaldo corral carrillo</dc:creator>
  <cp:lastModifiedBy>kevin ronaldo corral carrillo</cp:lastModifiedBy>
  <dcterms:created xsi:type="dcterms:W3CDTF">2025-08-13T04:45:26Z</dcterms:created>
  <dcterms:modified xsi:type="dcterms:W3CDTF">2026-02-26T06:44:15Z</dcterms:modified>
</cp:coreProperties>
</file>